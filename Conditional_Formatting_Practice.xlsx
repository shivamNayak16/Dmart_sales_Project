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hivam\Downloads\"/>
    </mc:Choice>
  </mc:AlternateContent>
  <xr:revisionPtr revIDLastSave="0" documentId="13_ncr:1_{AE034F91-FF08-4BEF-BA33-43C4249E3DC5}" xr6:coauthVersionLast="47" xr6:coauthVersionMax="47" xr10:uidLastSave="{00000000-0000-0000-0000-000000000000}"/>
  <bookViews>
    <workbookView xWindow="-110" yWindow="-110" windowWidth="19420" windowHeight="10300" tabRatio="816" activeTab="4" xr2:uid="{00000000-000D-0000-FFFF-FFFF00000000}"/>
  </bookViews>
  <sheets>
    <sheet name="Conditional_Formatting_Practice" sheetId="1" r:id="rId1"/>
    <sheet name="Logical function" sheetId="2" r:id="rId2"/>
    <sheet name="Error Function" sheetId="8" r:id="rId3"/>
    <sheet name="Text Func" sheetId="3" r:id="rId4"/>
    <sheet name="Date Func" sheetId="4" r:id="rId5"/>
    <sheet name="Advance Sum, count" sheetId="5" r:id="rId6"/>
    <sheet name="Practice" sheetId="9" r:id="rId7"/>
    <sheet name="Data Cleaning" sheetId="6" r:id="rId8"/>
    <sheet name="Index and match" sheetId="10" r:id="rId9"/>
    <sheet name="Lookups" sheetId="11" r:id="rId10"/>
    <sheet name="Lec 2" sheetId="12" r:id="rId11"/>
    <sheet name="Sheet1" sheetId="13" r:id="rId12"/>
  </sheets>
  <definedNames>
    <definedName name="Date">'Advance Sum, count'!$B$3:$B$12</definedName>
    <definedName name="Product">'Advance Sum, count'!$E$3:$E$12</definedName>
    <definedName name="Region">'Advance Sum, count'!$D$3:$D$12</definedName>
    <definedName name="Sales_Amount">'Advance Sum, count'!$F$3:$F$12</definedName>
    <definedName name="Salesperson">'Advance Sum, count'!$C$3:$C$12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4" l="1"/>
  <c r="B13" i="4"/>
  <c r="B8" i="4"/>
  <c r="B7" i="4"/>
  <c r="B6" i="4"/>
  <c r="B5" i="4"/>
  <c r="B4" i="4"/>
  <c r="B11" i="4" s="1"/>
  <c r="C6" i="13"/>
  <c r="C7" i="13"/>
  <c r="C9" i="13"/>
  <c r="C4" i="13"/>
  <c r="C3" i="13"/>
  <c r="C2" i="13"/>
  <c r="B11" i="13"/>
  <c r="C8" i="13" s="1"/>
  <c r="B10" i="4"/>
  <c r="B9" i="4"/>
  <c r="F17" i="9"/>
  <c r="G17" i="9"/>
  <c r="F18" i="9"/>
  <c r="G18" i="9"/>
  <c r="F19" i="9"/>
  <c r="G19" i="9"/>
  <c r="F20" i="9"/>
  <c r="G20" i="9"/>
  <c r="E18" i="9"/>
  <c r="E19" i="9"/>
  <c r="E20" i="9"/>
  <c r="E17" i="9"/>
  <c r="H3" i="11"/>
  <c r="I3" i="11"/>
  <c r="G2" i="10"/>
  <c r="G3" i="10"/>
  <c r="K9" i="5"/>
  <c r="J9" i="5"/>
  <c r="J6" i="5"/>
  <c r="J7" i="5"/>
  <c r="K4" i="5"/>
  <c r="I13" i="5"/>
  <c r="J5" i="5"/>
  <c r="J4" i="5"/>
  <c r="J3" i="5"/>
  <c r="B10" i="3"/>
  <c r="D8" i="3"/>
  <c r="D7" i="3"/>
  <c r="W2" i="3"/>
  <c r="J2" i="2" a="1"/>
  <c r="J2" i="2" s="1"/>
  <c r="J3" i="2" a="1"/>
  <c r="J3" i="2" s="1"/>
  <c r="J4" i="2" a="1"/>
  <c r="J4" i="2" s="1"/>
  <c r="J5" i="2" a="1"/>
  <c r="J5" i="2" s="1"/>
  <c r="J6" i="2" a="1"/>
  <c r="J6" i="2" s="1"/>
  <c r="J7" i="2" a="1"/>
  <c r="J7" i="2" s="1"/>
  <c r="I3" i="2" a="1"/>
  <c r="I3" i="2" s="1"/>
  <c r="H2" i="2"/>
  <c r="I2" i="2" a="1"/>
  <c r="I2" i="2" s="1"/>
  <c r="I4" i="2" a="1"/>
  <c r="I4" i="2" s="1"/>
  <c r="I5" i="2" a="1"/>
  <c r="I5" i="2" s="1"/>
  <c r="I6" i="2" a="1"/>
  <c r="I6" i="2" s="1"/>
  <c r="I7" i="2" a="1"/>
  <c r="I7" i="2" s="1"/>
  <c r="H3" i="2"/>
  <c r="H4" i="2"/>
  <c r="H5" i="2"/>
  <c r="H6" i="2"/>
  <c r="H7" i="2"/>
  <c r="C6" i="4"/>
  <c r="I12" i="12"/>
  <c r="F18" i="12"/>
  <c r="F17" i="12"/>
  <c r="F16" i="12"/>
  <c r="F15" i="12"/>
  <c r="F14" i="12"/>
  <c r="C11" i="13" l="1"/>
  <c r="C10" i="13"/>
  <c r="C5" i="13"/>
  <c r="G2" i="8"/>
  <c r="G3" i="8"/>
  <c r="G4" i="8"/>
  <c r="G5" i="8"/>
  <c r="G6" i="8"/>
  <c r="G7" i="8"/>
  <c r="G1" i="8"/>
  <c r="F2" i="8"/>
  <c r="F3" i="8"/>
  <c r="F4" i="8"/>
  <c r="F5" i="8"/>
  <c r="F6" i="8"/>
  <c r="F7" i="8"/>
  <c r="F1" i="8"/>
  <c r="D2" i="6"/>
  <c r="D3" i="6"/>
  <c r="D4" i="6"/>
  <c r="D5" i="6"/>
  <c r="D6" i="6"/>
  <c r="F3" i="2"/>
  <c r="F4" i="2"/>
  <c r="F5" i="2"/>
  <c r="F6" i="2"/>
  <c r="F7" i="2"/>
  <c r="R4" i="5"/>
  <c r="R3" i="5"/>
  <c r="R2" i="5"/>
  <c r="S4" i="5"/>
  <c r="S3" i="5"/>
  <c r="S2" i="5"/>
  <c r="AF2" i="3"/>
  <c r="AF1" i="3"/>
  <c r="AH1" i="3"/>
  <c r="G2" i="2" l="1"/>
  <c r="G3" i="2"/>
  <c r="G4" i="2"/>
  <c r="G5" i="2"/>
  <c r="G6" i="2"/>
  <c r="G7" i="2"/>
  <c r="F2" i="2"/>
  <c r="P2" i="2"/>
  <c r="P1" i="2"/>
  <c r="E3" i="2"/>
  <c r="E4" i="2"/>
  <c r="E5" i="2"/>
  <c r="E6" i="2"/>
  <c r="E2" i="2"/>
  <c r="P3" i="3" l="1"/>
  <c r="O2" i="3"/>
  <c r="P2" i="3"/>
  <c r="O3" i="3"/>
  <c r="I3" i="3"/>
  <c r="J3" i="3" s="1"/>
  <c r="K3" i="3" s="1"/>
  <c r="L3" i="3" s="1"/>
  <c r="M3" i="3" s="1"/>
  <c r="Q3" i="3" s="1"/>
  <c r="I2" i="3"/>
  <c r="J2" i="3" s="1"/>
  <c r="K2" i="3" s="1"/>
  <c r="L2" i="3" s="1"/>
  <c r="M2" i="3" s="1"/>
  <c r="Q2" i="3" s="1"/>
  <c r="H3" i="3"/>
  <c r="H2" i="3"/>
  <c r="G2" i="3"/>
  <c r="G3" i="3"/>
  <c r="F3" i="3"/>
  <c r="F2" i="3"/>
  <c r="E3" i="3"/>
  <c r="E2" i="3"/>
  <c r="E38" i="1"/>
  <c r="G31" i="1"/>
  <c r="E30" i="1"/>
  <c r="R21" i="1"/>
  <c r="R20" i="1"/>
  <c r="O20" i="1"/>
  <c r="O21" i="1"/>
  <c r="L21" i="1"/>
  <c r="L20" i="1"/>
  <c r="F19" i="1"/>
  <c r="F18" i="1"/>
  <c r="F17" i="1"/>
  <c r="F16" i="1"/>
  <c r="F15" i="1"/>
  <c r="F14" i="1"/>
  <c r="F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<sst xmlns="http://schemas.openxmlformats.org/spreadsheetml/2006/main" count="549" uniqueCount="296">
  <si>
    <t>Employee ID</t>
  </si>
  <si>
    <t>Employee Name</t>
  </si>
  <si>
    <t>Department</t>
  </si>
  <si>
    <t>Monthly Sales</t>
  </si>
  <si>
    <t>Target</t>
  </si>
  <si>
    <t>Performance %</t>
  </si>
  <si>
    <t>Attendance %</t>
  </si>
  <si>
    <t>Customer Rating</t>
  </si>
  <si>
    <t>Status</t>
  </si>
  <si>
    <t>Joining Date</t>
  </si>
  <si>
    <t>Amit</t>
  </si>
  <si>
    <t>Sales</t>
  </si>
  <si>
    <t>Average</t>
  </si>
  <si>
    <t>2021-06-15</t>
  </si>
  <si>
    <t>Neha</t>
  </si>
  <si>
    <t>Excellent</t>
  </si>
  <si>
    <t>2020-03-10</t>
  </si>
  <si>
    <t>Rahul</t>
  </si>
  <si>
    <t>Marketing</t>
  </si>
  <si>
    <t>Poor</t>
  </si>
  <si>
    <t>2022-01-20</t>
  </si>
  <si>
    <t>Priya</t>
  </si>
  <si>
    <t>Good</t>
  </si>
  <si>
    <t>2021-11-05</t>
  </si>
  <si>
    <t>Arjun</t>
  </si>
  <si>
    <t>HR</t>
  </si>
  <si>
    <t>2019-08-12</t>
  </si>
  <si>
    <t>Sneha</t>
  </si>
  <si>
    <t>2018-04-25</t>
  </si>
  <si>
    <t>Vikas</t>
  </si>
  <si>
    <t>2023-02-01</t>
  </si>
  <si>
    <t>Pooja</t>
  </si>
  <si>
    <t>Finance</t>
  </si>
  <si>
    <t>2020-09-18</t>
  </si>
  <si>
    <t>Rohit</t>
  </si>
  <si>
    <t>2019-12-30</t>
  </si>
  <si>
    <t>Anjali</t>
  </si>
  <si>
    <t>2022-07-22</t>
  </si>
  <si>
    <t>sum---&gt;</t>
  </si>
  <si>
    <t>Average--&gt;</t>
  </si>
  <si>
    <t>min---&gt;</t>
  </si>
  <si>
    <t>max--&gt;</t>
  </si>
  <si>
    <t>count--&gt;</t>
  </si>
  <si>
    <t>counta--&gt;</t>
  </si>
  <si>
    <t>countblank--&gt;</t>
  </si>
  <si>
    <t>Sahil</t>
  </si>
  <si>
    <t>B</t>
  </si>
  <si>
    <t>Student</t>
  </si>
  <si>
    <t>Marks</t>
  </si>
  <si>
    <t>Attendance (%)</t>
  </si>
  <si>
    <t>Gender</t>
  </si>
  <si>
    <t>M</t>
  </si>
  <si>
    <t>Aisha</t>
  </si>
  <si>
    <t>F</t>
  </si>
  <si>
    <t>Aman</t>
  </si>
  <si>
    <t>round</t>
  </si>
  <si>
    <t>roundup</t>
  </si>
  <si>
    <t>rounddown</t>
  </si>
  <si>
    <t>abs</t>
  </si>
  <si>
    <t>mod</t>
  </si>
  <si>
    <t>power</t>
  </si>
  <si>
    <t>Mathematical function</t>
  </si>
  <si>
    <t>IF Func</t>
  </si>
  <si>
    <t>IF AND Func</t>
  </si>
  <si>
    <t>IF OR Func</t>
  </si>
  <si>
    <t>IFS Func</t>
  </si>
  <si>
    <t>Switch Func</t>
  </si>
  <si>
    <t>Nested IF</t>
  </si>
  <si>
    <t>Full Name</t>
  </si>
  <si>
    <t>Email</t>
  </si>
  <si>
    <t>Category</t>
  </si>
  <si>
    <t>Order Text</t>
  </si>
  <si>
    <t>RAHUL@gmail.com</t>
  </si>
  <si>
    <t>elec_mobile</t>
  </si>
  <si>
    <t>Order-ID:12345</t>
  </si>
  <si>
    <t>aisha@Yahoo.COM</t>
  </si>
  <si>
    <t>home_appliance</t>
  </si>
  <si>
    <t>Order-ID:67890</t>
  </si>
  <si>
    <t>Left Func</t>
  </si>
  <si>
    <t>Right Func</t>
  </si>
  <si>
    <t>Mid Func</t>
  </si>
  <si>
    <t>Len Func</t>
  </si>
  <si>
    <t>Trim Func</t>
  </si>
  <si>
    <t>Upper Func</t>
  </si>
  <si>
    <t>Lower Func</t>
  </si>
  <si>
    <t>Proper Func</t>
  </si>
  <si>
    <t>Concat Func</t>
  </si>
  <si>
    <t>TextJoin Func</t>
  </si>
  <si>
    <t>Find Func</t>
  </si>
  <si>
    <t>Search Func</t>
  </si>
  <si>
    <t xml:space="preserve">Substitute Func </t>
  </si>
  <si>
    <t>Resigning Date</t>
  </si>
  <si>
    <t>Functions</t>
  </si>
  <si>
    <t>Today Func</t>
  </si>
  <si>
    <t>Now Func</t>
  </si>
  <si>
    <t>Date Func</t>
  </si>
  <si>
    <t>Year Func</t>
  </si>
  <si>
    <t>Month Func</t>
  </si>
  <si>
    <t>Day Func</t>
  </si>
  <si>
    <t>Datedif Func</t>
  </si>
  <si>
    <t>Workday Func</t>
  </si>
  <si>
    <t>Networkday Func</t>
  </si>
  <si>
    <t>EOMonth Func</t>
  </si>
  <si>
    <t>Date</t>
  </si>
  <si>
    <t>Salesperson</t>
  </si>
  <si>
    <t>Region</t>
  </si>
  <si>
    <t>Product</t>
  </si>
  <si>
    <t>Sales Amount</t>
  </si>
  <si>
    <t>North</t>
  </si>
  <si>
    <t>Mobile</t>
  </si>
  <si>
    <t>South</t>
  </si>
  <si>
    <t>Laptop</t>
  </si>
  <si>
    <t>East</t>
  </si>
  <si>
    <t>West</t>
  </si>
  <si>
    <t>sum func</t>
  </si>
  <si>
    <t>count func</t>
  </si>
  <si>
    <t>sumif func</t>
  </si>
  <si>
    <t>countif func</t>
  </si>
  <si>
    <t>sumifs func</t>
  </si>
  <si>
    <t>countifs func</t>
  </si>
  <si>
    <t>mod -- reminder</t>
  </si>
  <si>
    <t xml:space="preserve">mode -- </t>
  </si>
  <si>
    <t xml:space="preserve">rahul     sharma    </t>
  </si>
  <si>
    <t>name</t>
  </si>
  <si>
    <t>age</t>
  </si>
  <si>
    <t>city</t>
  </si>
  <si>
    <t>after textjoin</t>
  </si>
  <si>
    <t>abc</t>
  </si>
  <si>
    <t>mumbai</t>
  </si>
  <si>
    <t>pqr</t>
  </si>
  <si>
    <t>thane</t>
  </si>
  <si>
    <t>abc | 10 | mumbai</t>
  </si>
  <si>
    <t>abc | thane</t>
  </si>
  <si>
    <t>Function</t>
  </si>
  <si>
    <t>Textjoin(" | ", TRUE, Y2,Z2,AA2)</t>
  </si>
  <si>
    <t>ansari Mohd Tarique</t>
  </si>
  <si>
    <t>Replace Func</t>
  </si>
  <si>
    <t>aisha Khan</t>
  </si>
  <si>
    <t>Emp ID</t>
  </si>
  <si>
    <t>Name</t>
  </si>
  <si>
    <t>Salary</t>
  </si>
  <si>
    <t>Join Date</t>
  </si>
  <si>
    <t>E101</t>
  </si>
  <si>
    <t>Rahul Sharma</t>
  </si>
  <si>
    <t>rahul@gmail.com</t>
  </si>
  <si>
    <t>E102</t>
  </si>
  <si>
    <t>Aisha Khan</t>
  </si>
  <si>
    <t>aisha@gmail.com</t>
  </si>
  <si>
    <t>E103</t>
  </si>
  <si>
    <t>E104</t>
  </si>
  <si>
    <t>Aman Singh</t>
  </si>
  <si>
    <t>IT</t>
  </si>
  <si>
    <t>aman@gmail.com</t>
  </si>
  <si>
    <t>E105</t>
  </si>
  <si>
    <t>Neha Verma</t>
  </si>
  <si>
    <t>neha@gmail.com</t>
  </si>
  <si>
    <t>E106</t>
  </si>
  <si>
    <t>Rohit Mehta</t>
  </si>
  <si>
    <t>rohit@gmail.com</t>
  </si>
  <si>
    <t>Remove Duplicates</t>
  </si>
  <si>
    <t>Text to Column</t>
  </si>
  <si>
    <t>Fine and replace</t>
  </si>
  <si>
    <t>Data Validation</t>
  </si>
  <si>
    <t>Handling Missing values</t>
  </si>
  <si>
    <t>Highlights Duplicates</t>
  </si>
  <si>
    <t>Rues Based formatting</t>
  </si>
  <si>
    <t>#RFE!</t>
  </si>
  <si>
    <t>Type of errors</t>
  </si>
  <si>
    <t>Explaination</t>
  </si>
  <si>
    <t>Zero Division</t>
  </si>
  <si>
    <t>Value Not found</t>
  </si>
  <si>
    <t>Wroong Data type</t>
  </si>
  <si>
    <t>Invalid Cell Reference</t>
  </si>
  <si>
    <t>Wrong Func Name</t>
  </si>
  <si>
    <t>Number Issue</t>
  </si>
  <si>
    <t xml:space="preserve">id </t>
  </si>
  <si>
    <t xml:space="preserve">Perosn A </t>
  </si>
  <si>
    <t>Mumbai</t>
  </si>
  <si>
    <t>Perosn B</t>
  </si>
  <si>
    <t>Thane</t>
  </si>
  <si>
    <t>Prosn C</t>
  </si>
  <si>
    <t>Perosn D</t>
  </si>
  <si>
    <t>Pune</t>
  </si>
  <si>
    <t>sahil</t>
  </si>
  <si>
    <t>pune</t>
  </si>
  <si>
    <t>tarique</t>
  </si>
  <si>
    <t>aurangabad</t>
  </si>
  <si>
    <t>latur'</t>
  </si>
  <si>
    <t>marks</t>
  </si>
  <si>
    <t>Attandence</t>
  </si>
  <si>
    <t>Column1</t>
  </si>
  <si>
    <t>&gt;,&gt;=,&lt;,&lt;=,=,!=</t>
  </si>
  <si>
    <t>khan sahil sarfaraz</t>
  </si>
  <si>
    <t>a</t>
  </si>
  <si>
    <t>b</t>
  </si>
  <si>
    <t>c</t>
  </si>
  <si>
    <t>names</t>
  </si>
  <si>
    <t>sales</t>
  </si>
  <si>
    <t>OrderID</t>
  </si>
  <si>
    <t>Customer</t>
  </si>
  <si>
    <t>Quantity</t>
  </si>
  <si>
    <t>UnitPrice</t>
  </si>
  <si>
    <t>Payment</t>
  </si>
  <si>
    <t>O001</t>
  </si>
  <si>
    <t>Electronics</t>
  </si>
  <si>
    <t>Card</t>
  </si>
  <si>
    <t>O002</t>
  </si>
  <si>
    <t>Ayesha</t>
  </si>
  <si>
    <t>UPI</t>
  </si>
  <si>
    <t>O003</t>
  </si>
  <si>
    <t>Chair</t>
  </si>
  <si>
    <t>Furniture</t>
  </si>
  <si>
    <t>Cash</t>
  </si>
  <si>
    <t>O004</t>
  </si>
  <si>
    <t>Table</t>
  </si>
  <si>
    <t>O005</t>
  </si>
  <si>
    <t>Imran</t>
  </si>
  <si>
    <t>Headphones</t>
  </si>
  <si>
    <t>O006</t>
  </si>
  <si>
    <t>O007</t>
  </si>
  <si>
    <t>Rohan</t>
  </si>
  <si>
    <t>Sofa</t>
  </si>
  <si>
    <t>O008</t>
  </si>
  <si>
    <t>Sana</t>
  </si>
  <si>
    <t>O009</t>
  </si>
  <si>
    <t>O010</t>
  </si>
  <si>
    <t>Zoya</t>
  </si>
  <si>
    <t>questions</t>
  </si>
  <si>
    <t>1) how many orders were paid using cards</t>
  </si>
  <si>
    <t>2) count ow many orders belong to electronic category</t>
  </si>
  <si>
    <t>3) total sales of electronic category</t>
  </si>
  <si>
    <t>4) total sales from west region</t>
  </si>
  <si>
    <t>5) count number of orders where category = "electronic and payment is UPI</t>
  </si>
  <si>
    <t>6) count orders where region is East and Product is mobile</t>
  </si>
  <si>
    <t>7) Total sales where category = Furniture and payment = card</t>
  </si>
  <si>
    <t>Total sales of mobile in east</t>
  </si>
  <si>
    <t>person a</t>
  </si>
  <si>
    <t>person b</t>
  </si>
  <si>
    <t>perosn c</t>
  </si>
  <si>
    <t>person d</t>
  </si>
  <si>
    <t>Sharma</t>
  </si>
  <si>
    <t>Khan</t>
  </si>
  <si>
    <t>Singh</t>
  </si>
  <si>
    <t>Verma</t>
  </si>
  <si>
    <t>Mehta</t>
  </si>
  <si>
    <t>First name</t>
  </si>
  <si>
    <t>Last name</t>
  </si>
  <si>
    <t>department</t>
  </si>
  <si>
    <t>salary2</t>
  </si>
  <si>
    <t>Index Func</t>
  </si>
  <si>
    <t>Match Func</t>
  </si>
  <si>
    <t>Index and match func</t>
  </si>
  <si>
    <t>lookup</t>
  </si>
  <si>
    <t>VLookUp</t>
  </si>
  <si>
    <t>HLookUp</t>
  </si>
  <si>
    <t>Aggregate Func</t>
  </si>
  <si>
    <t>Sum Func</t>
  </si>
  <si>
    <t>Avg Func</t>
  </si>
  <si>
    <t>Min Func</t>
  </si>
  <si>
    <t>Max Func</t>
  </si>
  <si>
    <t>Count Func</t>
  </si>
  <si>
    <t>Whole Numbers</t>
  </si>
  <si>
    <t>Decimal</t>
  </si>
  <si>
    <t>DS</t>
  </si>
  <si>
    <t>DA</t>
  </si>
  <si>
    <t>FSD</t>
  </si>
  <si>
    <t>ds</t>
  </si>
  <si>
    <t>Tarique</t>
  </si>
  <si>
    <t>List</t>
  </si>
  <si>
    <t>Text Len</t>
  </si>
  <si>
    <t>Ansari</t>
  </si>
  <si>
    <t>&amp;</t>
  </si>
  <si>
    <t>F name</t>
  </si>
  <si>
    <t>L name</t>
  </si>
  <si>
    <t>M name</t>
  </si>
  <si>
    <t>Nikhil</t>
  </si>
  <si>
    <t>Shelar</t>
  </si>
  <si>
    <t>textjoin func</t>
  </si>
  <si>
    <t>salman</t>
  </si>
  <si>
    <t>Person A</t>
  </si>
  <si>
    <t>average func</t>
  </si>
  <si>
    <t>averageif func</t>
  </si>
  <si>
    <t>averageifs func</t>
  </si>
  <si>
    <t>Products</t>
  </si>
  <si>
    <t>d</t>
  </si>
  <si>
    <t>e</t>
  </si>
  <si>
    <t>f</t>
  </si>
  <si>
    <t>g</t>
  </si>
  <si>
    <t>h</t>
  </si>
  <si>
    <t>i</t>
  </si>
  <si>
    <t>Null</t>
  </si>
  <si>
    <t>region</t>
  </si>
  <si>
    <t>north</t>
  </si>
  <si>
    <t>south</t>
  </si>
  <si>
    <t>east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</si>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</sst>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0" borderId="0" applyNumberFormat="0" applyFill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/>
    <xf numFmtId="14" fontId="0" fillId="0" borderId="1" xfId="0" applyNumberFormat="1" applyBorder="1"/>
    <xf numFmtId="0" fontId="1" fillId="2" borderId="1" xfId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5" applyBorder="1" applyAlignment="1">
      <alignment vertical="center"/>
    </xf>
    <xf numFmtId="0" fontId="1" fillId="5" borderId="1" xfId="4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5" borderId="1" xfId="4" applyBorder="1"/>
    <xf numFmtId="0" fontId="1" fillId="5" borderId="1" xfId="4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4" borderId="1" xfId="3" applyBorder="1"/>
    <xf numFmtId="14" fontId="0" fillId="0" borderId="1" xfId="0" applyNumberFormat="1" applyBorder="1" applyAlignment="1">
      <alignment vertical="center"/>
    </xf>
    <xf numFmtId="0" fontId="1" fillId="3" borderId="1" xfId="2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2" borderId="1" xfId="1" applyFont="1" applyBorder="1" applyAlignment="1">
      <alignment horizontal="center" vertical="center"/>
    </xf>
    <xf numFmtId="14" fontId="0" fillId="0" borderId="0" xfId="0" applyNumberFormat="1"/>
    <xf numFmtId="0" fontId="0" fillId="0" borderId="2" xfId="0" applyBorder="1" applyAlignment="1">
      <alignment horizontal="center"/>
    </xf>
    <xf numFmtId="0" fontId="1" fillId="5" borderId="3" xfId="4" applyBorder="1" applyAlignment="1">
      <alignment horizontal="center" vertical="center"/>
    </xf>
    <xf numFmtId="0" fontId="0" fillId="5" borderId="1" xfId="4" applyFont="1" applyBorder="1" applyAlignment="1">
      <alignment horizontal="center" vertical="center"/>
    </xf>
    <xf numFmtId="22" fontId="0" fillId="0" borderId="0" xfId="0" applyNumberFormat="1"/>
    <xf numFmtId="0" fontId="3" fillId="0" borderId="0" xfId="0" applyFont="1" applyAlignment="1">
      <alignment horizontal="center" vertical="center"/>
    </xf>
    <xf numFmtId="0" fontId="1" fillId="5" borderId="2" xfId="4" applyBorder="1" applyAlignment="1">
      <alignment horizontal="center" vertical="center"/>
    </xf>
    <xf numFmtId="0" fontId="0" fillId="0" borderId="2" xfId="0" applyBorder="1" applyAlignment="1">
      <alignment vertical="center"/>
    </xf>
    <xf numFmtId="14" fontId="0" fillId="0" borderId="3" xfId="0" applyNumberFormat="1" applyBorder="1" applyAlignment="1">
      <alignment vertical="center"/>
    </xf>
    <xf numFmtId="14" fontId="0" fillId="0" borderId="4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6" borderId="1" xfId="6" applyBorder="1" applyAlignment="1">
      <alignment horizontal="center" vertical="center" wrapText="1"/>
    </xf>
    <xf numFmtId="0" fontId="1" fillId="6" borderId="1" xfId="6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Border="1" applyAlignment="1">
      <alignment horizontal="center"/>
    </xf>
    <xf numFmtId="0" fontId="1" fillId="7" borderId="1" xfId="7" applyBorder="1" applyAlignment="1">
      <alignment horizontal="center"/>
    </xf>
    <xf numFmtId="0" fontId="1" fillId="7" borderId="1" xfId="7" applyNumberFormat="1" applyBorder="1" applyAlignment="1">
      <alignment horizontal="center"/>
    </xf>
    <xf numFmtId="44" fontId="1" fillId="7" borderId="1" xfId="7" applyNumberForma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44" fontId="0" fillId="0" borderId="0" xfId="0" applyNumberFormat="1"/>
    <xf numFmtId="44" fontId="0" fillId="0" borderId="0" xfId="0" applyNumberFormat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7" borderId="0" xfId="7" applyBorder="1" applyAlignment="1">
      <alignment horizontal="center"/>
    </xf>
    <xf numFmtId="0" fontId="1" fillId="6" borderId="1" xfId="6" applyBorder="1"/>
    <xf numFmtId="0" fontId="0" fillId="6" borderId="1" xfId="6" applyFont="1" applyBorder="1"/>
    <xf numFmtId="0" fontId="0" fillId="2" borderId="2" xfId="1" applyFont="1" applyBorder="1" applyAlignment="1">
      <alignment horizontal="center" vertical="center"/>
    </xf>
    <xf numFmtId="0" fontId="1" fillId="2" borderId="0" xfId="1"/>
    <xf numFmtId="0" fontId="1" fillId="5" borderId="5" xfId="4" applyBorder="1" applyAlignment="1">
      <alignment horizontal="center"/>
    </xf>
  </cellXfs>
  <cellStyles count="8">
    <cellStyle name="20% - Accent2" xfId="1" builtinId="34"/>
    <cellStyle name="20% - Accent4" xfId="3" builtinId="42"/>
    <cellStyle name="40% - Accent2" xfId="6" builtinId="35"/>
    <cellStyle name="40% - Accent3" xfId="2" builtinId="39"/>
    <cellStyle name="40% - Accent4" xfId="4" builtinId="43"/>
    <cellStyle name="40% - Accent5" xfId="7" builtinId="47"/>
    <cellStyle name="Hyperlink" xfId="5" builtinId="8"/>
    <cellStyle name="Normal" xfId="0" builtinId="0"/>
  </cellStyles>
  <dxfs count="3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Z1:AB5">
  <autoFilter ref="Z1:AB5" xr:uid="{00000000-0009-0000-0100-000001000000}"/>
  <tableColumns count="3">
    <tableColumn id="1" xr3:uid="{00000000-0010-0000-0000-000001000000}" name="id " totalsRowLabel="Total"/>
    <tableColumn id="2" xr3:uid="{00000000-0010-0000-0000-000002000000}" name="name"/>
    <tableColumn id="3" xr3:uid="{00000000-0010-0000-0000-000003000000}" name="city" totalsRowFunction="c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O1:AQ6" totalsRowShown="0">
  <autoFilter ref="AO1:AQ6" xr:uid="{00000000-0009-0000-0100-000004000000}"/>
  <tableColumns count="3">
    <tableColumn id="1" xr3:uid="{00000000-0010-0000-0100-000001000000}" name="name"/>
    <tableColumn id="2" xr3:uid="{00000000-0010-0000-0100-000002000000}" name="marks"/>
    <tableColumn id="3" xr3:uid="{00000000-0010-0000-0100-000003000000}" name="Attandenc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1:J7" totalsRowShown="0" headerRowDxfId="30" headerRowBorderDxfId="29" tableBorderDxfId="28" headerRowCellStyle="40% - Accent4">
  <autoFilter ref="A1:J7" xr:uid="{00000000-0009-0000-0100-000005000000}"/>
  <tableColumns count="10">
    <tableColumn id="1" xr3:uid="{00000000-0010-0000-0200-000001000000}" name="Student" dataDxfId="27"/>
    <tableColumn id="2" xr3:uid="{00000000-0010-0000-0200-000002000000}" name="Marks" dataDxfId="26"/>
    <tableColumn id="3" xr3:uid="{00000000-0010-0000-0200-000003000000}" name="Attendance (%)" dataDxfId="25"/>
    <tableColumn id="4" xr3:uid="{00000000-0010-0000-0200-000004000000}" name="Gender" dataDxfId="24"/>
    <tableColumn id="5" xr3:uid="{00000000-0010-0000-0200-000005000000}" name="IF Func"/>
    <tableColumn id="6" xr3:uid="{00000000-0010-0000-0200-000006000000}" name="IF AND Func" dataDxfId="23">
      <calculatedColumnFormula>IF(AND(Table5[[#This Row],[Marks]]&gt;50,Table5[[#This Row],[Attendance (%)]]&gt;80),"Allow","Not Allow")</calculatedColumnFormula>
    </tableColumn>
    <tableColumn id="7" xr3:uid="{00000000-0010-0000-0200-000007000000}" name="IF OR Func" dataDxfId="22">
      <calculatedColumnFormula>IF(OR(Table5[[#This Row],[Marks]]&gt;90,Table5[[#This Row],[Attendance (%)]]&gt;90),"Scholarship","No Scholarship")</calculatedColumnFormula>
    </tableColumn>
    <tableColumn id="8" xr3:uid="{00000000-0010-0000-0200-000008000000}" name="Nested IF" dataDxfId="21">
      <calculatedColumnFormula>IF(Table5[[#This Row],[Marks]]&gt;80,"A",IF(Table5[[#This Row],[Marks]]&gt;60,"B",IF(Table5[[#This Row],[Marks]]&gt;50,"C","D")))</calculatedColumnFormula>
    </tableColumn>
    <tableColumn id="9" xr3:uid="{00000000-0010-0000-0200-000009000000}" name="IFS Func" dataDxfId="20">
      <calculatedColumnFormula array="1">_xlfn.IFS(Table5[[#This Row],[Marks]]&gt;=85,"A", Table5[[#This Row],[Marks]]&gt;=60,"B",Table5[[#This Row],[Marks]]&gt;=50,"C",Table5[[#This Row],[Marks]]&lt;50,"Fail")</calculatedColumnFormula>
    </tableColumn>
    <tableColumn id="10" xr3:uid="{00000000-0010-0000-0200-00000A000000}" name="Switch Func" dataDxfId="19">
      <calculatedColumnFormula array="1">_xlfn.SWITCH(Table5[[#This Row],[Gender]],"M","Male","F","Female","Unknown")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D1:I6" totalsRowShown="0" headerRowDxfId="18" tableBorderDxfId="17" headerRowCellStyle="40% - Accent4">
  <autoFilter ref="D1:I6" xr:uid="{00000000-0009-0000-0100-000006000000}"/>
  <tableColumns count="6">
    <tableColumn id="7" xr3:uid="{00000000-0010-0000-0300-000007000000}" name="Column1" dataDxfId="16">
      <calculatedColumnFormula>IF(E2="",TODAY(),E2)</calculatedColumnFormula>
    </tableColumn>
    <tableColumn id="2" xr3:uid="{00000000-0010-0000-0300-000002000000}" name="Join Date" dataDxfId="15"/>
    <tableColumn id="3" xr3:uid="{00000000-0010-0000-0300-000003000000}" name="Email" dataDxfId="14" dataCellStyle="Hyperlink"/>
    <tableColumn id="4" xr3:uid="{00000000-0010-0000-0300-000004000000}" name="First name"/>
    <tableColumn id="5" xr3:uid="{00000000-0010-0000-0300-000005000000}" name="Last name"/>
    <tableColumn id="6" xr3:uid="{00000000-0010-0000-0300-000006000000}" name="salary2" dataDxfId="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aisha@Yahoo.COM" TargetMode="External"/><Relationship Id="rId1" Type="http://schemas.openxmlformats.org/officeDocument/2006/relationships/hyperlink" Target="mailto:RAHUL@gmail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aman@gmail.com" TargetMode="External"/><Relationship Id="rId7" Type="http://schemas.openxmlformats.org/officeDocument/2006/relationships/table" Target="../tables/table4.xml"/><Relationship Id="rId2" Type="http://schemas.openxmlformats.org/officeDocument/2006/relationships/hyperlink" Target="mailto:aisha@gmail.com" TargetMode="External"/><Relationship Id="rId1" Type="http://schemas.openxmlformats.org/officeDocument/2006/relationships/hyperlink" Target="mailto:rahul@gmail.com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rohit@gmail.com" TargetMode="External"/><Relationship Id="rId4" Type="http://schemas.openxmlformats.org/officeDocument/2006/relationships/hyperlink" Target="mailto:neha@g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8"/>
  <sheetViews>
    <sheetView topLeftCell="A4" zoomScale="49" zoomScaleNormal="100" workbookViewId="0">
      <selection activeCell="G25" sqref="G25"/>
    </sheetView>
  </sheetViews>
  <sheetFormatPr defaultRowHeight="14.5" x14ac:dyDescent="0.35"/>
  <cols>
    <col min="1" max="1" width="11.26953125" bestFit="1" customWidth="1"/>
    <col min="2" max="2" width="14.54296875" bestFit="1" customWidth="1"/>
    <col min="3" max="3" width="10.90625" bestFit="1" customWidth="1"/>
    <col min="4" max="4" width="12.54296875" bestFit="1" customWidth="1"/>
    <col min="5" max="5" width="19.90625" bestFit="1" customWidth="1"/>
    <col min="6" max="6" width="13.54296875" bestFit="1" customWidth="1"/>
    <col min="7" max="7" width="12.26953125" bestFit="1" customWidth="1"/>
    <col min="8" max="8" width="14.6328125" bestFit="1" customWidth="1"/>
    <col min="9" max="9" width="8.1796875" bestFit="1" customWidth="1"/>
    <col min="10" max="10" width="11" bestFit="1" customWidth="1"/>
    <col min="15" max="15" width="10.26953125" bestFit="1" customWidth="1"/>
    <col min="18" max="18" width="10.6328125" bestFit="1" customWidth="1"/>
    <col min="19" max="19" width="10.08984375" bestFit="1" customWidth="1"/>
    <col min="22" max="22" width="11.36328125" bestFit="1" customWidth="1"/>
    <col min="26" max="26" width="10.6328125" bestFit="1" customWidth="1"/>
    <col min="43" max="43" width="17.1796875" customWidth="1"/>
  </cols>
  <sheetData>
    <row r="1" spans="1:51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Z1" t="s">
        <v>175</v>
      </c>
      <c r="AA1" t="s">
        <v>123</v>
      </c>
      <c r="AB1" t="s">
        <v>125</v>
      </c>
      <c r="AG1" t="s">
        <v>123</v>
      </c>
      <c r="AH1" t="s">
        <v>125</v>
      </c>
      <c r="AO1" t="s">
        <v>123</v>
      </c>
      <c r="AP1" t="s">
        <v>188</v>
      </c>
      <c r="AQ1" t="s">
        <v>189</v>
      </c>
      <c r="AY1">
        <v>1</v>
      </c>
    </row>
    <row r="2" spans="1:51" x14ac:dyDescent="0.35">
      <c r="A2" s="13">
        <v>101</v>
      </c>
      <c r="B2" s="13" t="s">
        <v>10</v>
      </c>
      <c r="C2" s="13" t="s">
        <v>11</v>
      </c>
      <c r="D2" s="13">
        <v>85000</v>
      </c>
      <c r="E2" s="13">
        <v>100000</v>
      </c>
      <c r="F2" s="13">
        <v>85</v>
      </c>
      <c r="G2" s="13">
        <v>98</v>
      </c>
      <c r="H2" s="13">
        <v>4.2</v>
      </c>
      <c r="I2" s="13" t="s">
        <v>12</v>
      </c>
      <c r="J2" s="13" t="s">
        <v>13</v>
      </c>
      <c r="O2" s="19">
        <v>46006</v>
      </c>
      <c r="S2">
        <v>85000</v>
      </c>
      <c r="V2">
        <v>85000</v>
      </c>
      <c r="Z2">
        <v>1</v>
      </c>
      <c r="AA2" t="s">
        <v>176</v>
      </c>
      <c r="AB2" t="s">
        <v>177</v>
      </c>
      <c r="AG2" t="s">
        <v>183</v>
      </c>
      <c r="AH2" t="s">
        <v>184</v>
      </c>
      <c r="AP2">
        <v>55</v>
      </c>
      <c r="AY2">
        <v>2</v>
      </c>
    </row>
    <row r="3" spans="1:51" x14ac:dyDescent="0.35">
      <c r="A3" s="13">
        <v>102</v>
      </c>
      <c r="B3" s="13" t="s">
        <v>14</v>
      </c>
      <c r="C3" s="13" t="s">
        <v>11</v>
      </c>
      <c r="D3" s="13">
        <v>120000</v>
      </c>
      <c r="E3" s="13">
        <v>100000</v>
      </c>
      <c r="F3" s="13">
        <v>120</v>
      </c>
      <c r="G3" s="13">
        <v>98</v>
      </c>
      <c r="H3" s="13">
        <v>4.8</v>
      </c>
      <c r="I3" s="13" t="s">
        <v>15</v>
      </c>
      <c r="J3" s="13" t="s">
        <v>16</v>
      </c>
      <c r="O3" s="19">
        <v>46007</v>
      </c>
      <c r="S3">
        <v>120000</v>
      </c>
      <c r="V3">
        <v>120000</v>
      </c>
      <c r="Z3">
        <v>2</v>
      </c>
      <c r="AA3" t="s">
        <v>178</v>
      </c>
      <c r="AB3" t="s">
        <v>179</v>
      </c>
      <c r="AG3" t="s">
        <v>183</v>
      </c>
      <c r="AH3" t="s">
        <v>128</v>
      </c>
      <c r="AP3">
        <v>51</v>
      </c>
      <c r="AY3">
        <v>3</v>
      </c>
    </row>
    <row r="4" spans="1:51" x14ac:dyDescent="0.35">
      <c r="A4" s="13">
        <v>103</v>
      </c>
      <c r="B4" s="13" t="s">
        <v>17</v>
      </c>
      <c r="C4" s="13" t="s">
        <v>18</v>
      </c>
      <c r="D4" s="13">
        <v>60000</v>
      </c>
      <c r="E4" s="13">
        <v>90000</v>
      </c>
      <c r="F4" s="13">
        <v>67</v>
      </c>
      <c r="G4" s="13">
        <v>75</v>
      </c>
      <c r="H4" s="13">
        <v>3.5</v>
      </c>
      <c r="I4" s="13" t="s">
        <v>19</v>
      </c>
      <c r="J4" s="13" t="s">
        <v>20</v>
      </c>
      <c r="O4" s="19">
        <v>46008</v>
      </c>
      <c r="S4">
        <v>55000</v>
      </c>
      <c r="V4">
        <v>55000</v>
      </c>
      <c r="Z4">
        <v>3</v>
      </c>
      <c r="AA4" t="s">
        <v>180</v>
      </c>
      <c r="AB4" t="s">
        <v>177</v>
      </c>
      <c r="AG4" t="s">
        <v>185</v>
      </c>
      <c r="AH4" t="s">
        <v>186</v>
      </c>
      <c r="AP4">
        <v>12</v>
      </c>
      <c r="AY4">
        <v>4</v>
      </c>
    </row>
    <row r="5" spans="1:51" x14ac:dyDescent="0.35">
      <c r="A5" s="13">
        <v>104</v>
      </c>
      <c r="B5" s="13" t="s">
        <v>21</v>
      </c>
      <c r="C5" s="13" t="s">
        <v>18</v>
      </c>
      <c r="D5" s="13">
        <v>95000</v>
      </c>
      <c r="E5" s="13">
        <v>90000</v>
      </c>
      <c r="F5" s="13">
        <v>34</v>
      </c>
      <c r="G5" s="13">
        <v>88</v>
      </c>
      <c r="H5" s="13">
        <v>4.0999999999999996</v>
      </c>
      <c r="I5" s="13" t="s">
        <v>22</v>
      </c>
      <c r="J5" s="13" t="s">
        <v>23</v>
      </c>
      <c r="O5" s="19">
        <v>46009</v>
      </c>
      <c r="S5">
        <v>95000</v>
      </c>
      <c r="V5">
        <v>95000</v>
      </c>
      <c r="Z5">
        <v>4</v>
      </c>
      <c r="AA5" t="s">
        <v>181</v>
      </c>
      <c r="AB5" t="s">
        <v>182</v>
      </c>
      <c r="AG5" t="s">
        <v>185</v>
      </c>
      <c r="AH5" t="s">
        <v>187</v>
      </c>
      <c r="AP5">
        <v>13</v>
      </c>
      <c r="AY5">
        <v>5</v>
      </c>
    </row>
    <row r="6" spans="1:51" x14ac:dyDescent="0.35">
      <c r="A6" s="13">
        <v>105</v>
      </c>
      <c r="B6" s="13" t="s">
        <v>24</v>
      </c>
      <c r="C6" s="13" t="s">
        <v>25</v>
      </c>
      <c r="D6" s="13">
        <v>40000</v>
      </c>
      <c r="E6" s="13">
        <v>50000</v>
      </c>
      <c r="F6" s="13">
        <v>103</v>
      </c>
      <c r="G6" s="13">
        <v>90</v>
      </c>
      <c r="H6" s="13">
        <v>3.9</v>
      </c>
      <c r="I6" s="13" t="s">
        <v>12</v>
      </c>
      <c r="J6" s="13" t="s">
        <v>26</v>
      </c>
      <c r="O6" s="19">
        <v>46010</v>
      </c>
      <c r="S6">
        <v>40000</v>
      </c>
      <c r="V6">
        <v>40000</v>
      </c>
      <c r="AP6">
        <v>99</v>
      </c>
    </row>
    <row r="7" spans="1:51" x14ac:dyDescent="0.35">
      <c r="A7" s="13">
        <v>106</v>
      </c>
      <c r="B7" s="13" t="s">
        <v>27</v>
      </c>
      <c r="C7" s="13" t="s">
        <v>25</v>
      </c>
      <c r="D7" s="13">
        <v>52000</v>
      </c>
      <c r="E7" s="13">
        <v>50000</v>
      </c>
      <c r="F7" s="13">
        <v>104</v>
      </c>
      <c r="G7" s="13">
        <v>99</v>
      </c>
      <c r="H7" s="13">
        <v>4.5999999999999996</v>
      </c>
      <c r="I7" s="13" t="s">
        <v>15</v>
      </c>
      <c r="J7" s="13" t="s">
        <v>28</v>
      </c>
      <c r="O7" s="19">
        <v>46011</v>
      </c>
      <c r="S7">
        <v>52000</v>
      </c>
      <c r="V7">
        <v>52000</v>
      </c>
    </row>
    <row r="8" spans="1:51" x14ac:dyDescent="0.35">
      <c r="A8" s="13">
        <v>107</v>
      </c>
      <c r="B8" s="13" t="s">
        <v>29</v>
      </c>
      <c r="C8" s="13" t="s">
        <v>11</v>
      </c>
      <c r="D8" s="13">
        <v>30000</v>
      </c>
      <c r="E8" s="13">
        <v>100000</v>
      </c>
      <c r="F8" s="13" t="s">
        <v>45</v>
      </c>
      <c r="G8" s="13">
        <v>60</v>
      </c>
      <c r="H8" s="13">
        <v>2.8</v>
      </c>
      <c r="I8" s="13" t="s">
        <v>19</v>
      </c>
      <c r="J8" s="13" t="s">
        <v>30</v>
      </c>
      <c r="O8" s="19">
        <v>46012</v>
      </c>
      <c r="S8">
        <v>30000</v>
      </c>
      <c r="V8">
        <v>30000</v>
      </c>
    </row>
    <row r="9" spans="1:51" x14ac:dyDescent="0.35">
      <c r="A9" s="13">
        <v>108</v>
      </c>
      <c r="B9" s="13" t="s">
        <v>31</v>
      </c>
      <c r="C9" s="13" t="s">
        <v>32</v>
      </c>
      <c r="D9" s="13">
        <v>70000</v>
      </c>
      <c r="E9" s="13">
        <v>80000</v>
      </c>
      <c r="F9" s="13">
        <v>88</v>
      </c>
      <c r="G9" s="13">
        <v>85</v>
      </c>
      <c r="H9" s="13">
        <v>4</v>
      </c>
      <c r="I9" s="13" t="s">
        <v>22</v>
      </c>
      <c r="J9" s="13" t="s">
        <v>33</v>
      </c>
      <c r="O9" s="19">
        <v>46013</v>
      </c>
      <c r="S9">
        <v>70000</v>
      </c>
      <c r="V9">
        <v>70000</v>
      </c>
    </row>
    <row r="10" spans="1:51" x14ac:dyDescent="0.35">
      <c r="A10" s="13">
        <v>109</v>
      </c>
      <c r="B10" s="13" t="s">
        <v>34</v>
      </c>
      <c r="C10" s="13" t="s">
        <v>32</v>
      </c>
      <c r="D10" s="13">
        <v>82000</v>
      </c>
      <c r="E10" s="13">
        <v>80000</v>
      </c>
      <c r="F10" s="13">
        <v>103</v>
      </c>
      <c r="G10" s="13">
        <v>95</v>
      </c>
      <c r="H10" s="13">
        <v>4.7</v>
      </c>
      <c r="I10" s="13" t="s">
        <v>15</v>
      </c>
      <c r="J10" s="13" t="s">
        <v>35</v>
      </c>
      <c r="O10" s="19">
        <v>46014</v>
      </c>
      <c r="S10">
        <v>82000</v>
      </c>
      <c r="V10">
        <v>82000</v>
      </c>
    </row>
    <row r="11" spans="1:51" x14ac:dyDescent="0.35">
      <c r="A11" s="13">
        <v>110</v>
      </c>
      <c r="B11" s="13" t="s">
        <v>36</v>
      </c>
      <c r="C11" s="13" t="s">
        <v>11</v>
      </c>
      <c r="D11" s="13">
        <v>50000</v>
      </c>
      <c r="E11" s="13">
        <v>100000</v>
      </c>
      <c r="F11" s="13">
        <v>50</v>
      </c>
      <c r="G11" s="13">
        <v>99</v>
      </c>
      <c r="H11" s="13">
        <v>3</v>
      </c>
      <c r="I11" s="13" t="s">
        <v>19</v>
      </c>
      <c r="J11" s="13" t="s">
        <v>37</v>
      </c>
      <c r="O11" s="19">
        <v>46015</v>
      </c>
      <c r="S11">
        <v>50000</v>
      </c>
      <c r="V11">
        <v>50000</v>
      </c>
    </row>
    <row r="12" spans="1:51" x14ac:dyDescent="0.35">
      <c r="B12" s="20" t="s">
        <v>10</v>
      </c>
      <c r="E12" s="10" t="s">
        <v>61</v>
      </c>
      <c r="O12" s="19">
        <v>46016</v>
      </c>
    </row>
    <row r="13" spans="1:51" x14ac:dyDescent="0.35">
      <c r="E13" s="13" t="s">
        <v>38</v>
      </c>
      <c r="F13">
        <f>SUM(F2:F11)</f>
        <v>754</v>
      </c>
    </row>
    <row r="14" spans="1:51" x14ac:dyDescent="0.35">
      <c r="E14" s="13" t="s">
        <v>39</v>
      </c>
      <c r="F14">
        <f>AVERAGE(F2:F11)</f>
        <v>83.777777777777771</v>
      </c>
    </row>
    <row r="15" spans="1:51" x14ac:dyDescent="0.35">
      <c r="E15" s="13" t="s">
        <v>40</v>
      </c>
      <c r="F15">
        <f>MIN(F2:F11)</f>
        <v>34</v>
      </c>
    </row>
    <row r="16" spans="1:51" x14ac:dyDescent="0.35">
      <c r="E16" s="13" t="s">
        <v>41</v>
      </c>
      <c r="F16">
        <f>MAX(F2:F11)</f>
        <v>120</v>
      </c>
    </row>
    <row r="17" spans="5:18" x14ac:dyDescent="0.35">
      <c r="E17" s="13" t="s">
        <v>42</v>
      </c>
      <c r="F17">
        <f>COUNT(F2:F11)</f>
        <v>9</v>
      </c>
    </row>
    <row r="18" spans="5:18" x14ac:dyDescent="0.35">
      <c r="E18" s="13" t="s">
        <v>43</v>
      </c>
      <c r="F18">
        <f>COUNTA(F2:F11)</f>
        <v>10</v>
      </c>
    </row>
    <row r="19" spans="5:18" x14ac:dyDescent="0.35">
      <c r="E19" s="13" t="s">
        <v>44</v>
      </c>
      <c r="F19">
        <f>COUNTBLANK(F2:F11)</f>
        <v>0</v>
      </c>
      <c r="L19" t="s">
        <v>55</v>
      </c>
      <c r="O19" t="s">
        <v>56</v>
      </c>
      <c r="R19" t="s">
        <v>57</v>
      </c>
    </row>
    <row r="20" spans="5:18" x14ac:dyDescent="0.35">
      <c r="E20" s="13" t="s">
        <v>55</v>
      </c>
      <c r="K20">
        <v>12.3</v>
      </c>
      <c r="L20">
        <f>ROUND(K20,0)</f>
        <v>12</v>
      </c>
      <c r="N20">
        <v>12.1</v>
      </c>
      <c r="O20">
        <f>ROUNDUP(N20,0)</f>
        <v>13</v>
      </c>
      <c r="Q20">
        <v>12.3</v>
      </c>
      <c r="R20">
        <f>ROUNDDOWN(Q20,0)</f>
        <v>12</v>
      </c>
    </row>
    <row r="21" spans="5:18" x14ac:dyDescent="0.35">
      <c r="E21" s="13" t="s">
        <v>56</v>
      </c>
      <c r="K21">
        <v>12.7</v>
      </c>
      <c r="L21">
        <f>ROUND(K21,0)</f>
        <v>13</v>
      </c>
      <c r="N21">
        <v>12.7</v>
      </c>
      <c r="O21">
        <f>ROUNDUP(N21,0)</f>
        <v>13</v>
      </c>
      <c r="Q21">
        <v>12.7</v>
      </c>
      <c r="R21">
        <f>ROUNDDOWN(Q21,0)</f>
        <v>12</v>
      </c>
    </row>
    <row r="22" spans="5:18" x14ac:dyDescent="0.35">
      <c r="E22" s="13" t="s">
        <v>57</v>
      </c>
    </row>
    <row r="23" spans="5:18" x14ac:dyDescent="0.35">
      <c r="E23" s="13" t="s">
        <v>58</v>
      </c>
    </row>
    <row r="24" spans="5:18" x14ac:dyDescent="0.35">
      <c r="E24" s="13" t="s">
        <v>59</v>
      </c>
    </row>
    <row r="25" spans="5:18" x14ac:dyDescent="0.35">
      <c r="E25" s="13" t="s">
        <v>60</v>
      </c>
    </row>
    <row r="29" spans="5:18" x14ac:dyDescent="0.35">
      <c r="E29">
        <v>-123</v>
      </c>
    </row>
    <row r="30" spans="5:18" x14ac:dyDescent="0.35">
      <c r="E30">
        <f>ABS(E29)</f>
        <v>123</v>
      </c>
    </row>
    <row r="31" spans="5:18" x14ac:dyDescent="0.35">
      <c r="G31">
        <f>MOD(7,4)</f>
        <v>3</v>
      </c>
    </row>
    <row r="32" spans="5:18" x14ac:dyDescent="0.35">
      <c r="G32" t="s">
        <v>120</v>
      </c>
    </row>
    <row r="33" spans="5:7" x14ac:dyDescent="0.35">
      <c r="G33" t="s">
        <v>121</v>
      </c>
    </row>
    <row r="38" spans="5:7" x14ac:dyDescent="0.35">
      <c r="E38">
        <f>POWER(2, 4)</f>
        <v>16</v>
      </c>
    </row>
  </sheetData>
  <conditionalFormatting sqref="B2:B12">
    <cfRule type="duplicateValues" dxfId="12" priority="12"/>
  </conditionalFormatting>
  <conditionalFormatting sqref="C2:C11">
    <cfRule type="cellIs" dxfId="11" priority="16" operator="equal">
      <formula>"Sales"</formula>
    </cfRule>
  </conditionalFormatting>
  <conditionalFormatting sqref="F2:F11">
    <cfRule type="aboveAverage" dxfId="10" priority="6" aboveAverage="0"/>
    <cfRule type="aboveAverage" dxfId="9" priority="7"/>
  </conditionalFormatting>
  <conditionalFormatting sqref="G2:G11">
    <cfRule type="top10" dxfId="8" priority="8" bottom="1" rank="3"/>
    <cfRule type="top10" dxfId="7" priority="9" rank="3"/>
    <cfRule type="top10" dxfId="6" priority="10" rank="3"/>
  </conditionalFormatting>
  <conditionalFormatting sqref="I2:I11">
    <cfRule type="containsText" dxfId="5" priority="15" operator="containsText" text="poor">
      <formula>NOT(ISERROR(SEARCH("poor",I2)))</formula>
    </cfRule>
  </conditionalFormatting>
  <conditionalFormatting sqref="J2:J11">
    <cfRule type="timePeriod" dxfId="4" priority="14" timePeriod="yesterday">
      <formula>FLOOR(J2,1)=TODAY()-1</formula>
    </cfRule>
  </conditionalFormatting>
  <conditionalFormatting sqref="O2:O12">
    <cfRule type="timePeriod" dxfId="3" priority="13" timePeriod="last7Days">
      <formula>AND(TODAY()-FLOOR(O2,1)&lt;=6,FLOOR(O2,1)&lt;=TODAY())</formula>
    </cfRule>
  </conditionalFormatting>
  <conditionalFormatting sqref="AG1:AH5">
    <cfRule type="duplicateValues" dxfId="2" priority="11"/>
  </conditionalFormatting>
  <conditionalFormatting sqref="AP2:AP6">
    <cfRule type="cellIs" dxfId="1" priority="4" operator="lessThan">
      <formula>50</formula>
    </cfRule>
    <cfRule type="cellIs" dxfId="0" priority="5" operator="greaterThan">
      <formula>50</formula>
    </cfRule>
  </conditionalFormatting>
  <conditionalFormatting sqref="AY1:AY5">
    <cfRule type="iconSet" priority="1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5" right="0.75" top="1" bottom="1" header="0.5" footer="0.5"/>
  <pageSetup orientation="portrait" horizontalDpi="360" verticalDpi="36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8"/>
  <sheetViews>
    <sheetView topLeftCell="F1" zoomScale="177" zoomScaleNormal="265" workbookViewId="0">
      <selection activeCell="J5" sqref="J5"/>
    </sheetView>
  </sheetViews>
  <sheetFormatPr defaultRowHeight="14.5" x14ac:dyDescent="0.35"/>
  <cols>
    <col min="1" max="1" width="8.81640625" customWidth="1"/>
    <col min="2" max="2" width="7.453125" customWidth="1"/>
    <col min="3" max="3" width="15.08984375" customWidth="1"/>
    <col min="4" max="4" width="8.453125" customWidth="1"/>
    <col min="5" max="5" width="13.1796875" customWidth="1"/>
    <col min="6" max="6" width="15.90625" customWidth="1"/>
    <col min="7" max="7" width="13.26953125" bestFit="1" customWidth="1"/>
    <col min="8" max="8" width="13.1796875" bestFit="1" customWidth="1"/>
    <col min="9" max="9" width="12.08984375" bestFit="1" customWidth="1"/>
    <col min="10" max="10" width="15.1796875" bestFit="1" customWidth="1"/>
  </cols>
  <sheetData>
    <row r="1" spans="1:22" x14ac:dyDescent="0.35">
      <c r="A1" s="21" t="s">
        <v>47</v>
      </c>
      <c r="B1" s="21" t="s">
        <v>48</v>
      </c>
      <c r="C1" s="21" t="s">
        <v>49</v>
      </c>
      <c r="D1" s="21" t="s">
        <v>50</v>
      </c>
      <c r="E1" s="21" t="s">
        <v>62</v>
      </c>
      <c r="F1" s="21" t="s">
        <v>63</v>
      </c>
      <c r="G1" s="21" t="s">
        <v>64</v>
      </c>
      <c r="H1" s="21" t="s">
        <v>67</v>
      </c>
      <c r="I1" s="21" t="s">
        <v>65</v>
      </c>
      <c r="J1" s="21" t="s">
        <v>66</v>
      </c>
      <c r="N1">
        <v>20</v>
      </c>
      <c r="O1">
        <v>20</v>
      </c>
      <c r="P1" t="b">
        <f>AND(N1&gt;15,O1&gt;15)</f>
        <v>1</v>
      </c>
      <c r="V1" t="s">
        <v>191</v>
      </c>
    </row>
    <row r="2" spans="1:22" x14ac:dyDescent="0.35">
      <c r="A2" s="9" t="s">
        <v>17</v>
      </c>
      <c r="B2" s="9">
        <v>85</v>
      </c>
      <c r="C2" s="9">
        <v>92</v>
      </c>
      <c r="D2" s="9" t="s">
        <v>51</v>
      </c>
      <c r="E2" t="str">
        <f>IF(B2&gt;50,"Pass","Fail")</f>
        <v>Pass</v>
      </c>
      <c r="F2" t="str">
        <f>IF(AND(Table5[[#This Row],[Marks]]&gt;50,Table5[[#This Row],[Attendance (%)]]&gt;80),"Allow","Not Allow")</f>
        <v>Allow</v>
      </c>
      <c r="G2" t="str">
        <f>IF(OR(Table5[[#This Row],[Marks]]&gt;90,Table5[[#This Row],[Attendance (%)]]&gt;90),"Scholarship","No Scholarship")</f>
        <v>Scholarship</v>
      </c>
      <c r="H2" t="str">
        <f>IF(Table5[[#This Row],[Marks]]&gt;80,"A",IF(Table5[[#This Row],[Marks]]&gt;60,"B",IF(Table5[[#This Row],[Marks]]&gt;50,"C","D")))</f>
        <v>A</v>
      </c>
      <c r="I2" t="str" cm="1">
        <f t="array" ref="I2">_xlfn.IFS(Table5[[#This Row],[Marks]]&gt;=85,"A", Table5[[#This Row],[Marks]]&gt;=60,"B",Table5[[#This Row],[Marks]]&gt;=50,"C",Table5[[#This Row],[Marks]]&lt;50,"Fail")</f>
        <v>A</v>
      </c>
      <c r="J2" t="str" cm="1">
        <f t="array" ref="J2">_xlfn.SWITCH(Table5[[#This Row],[Gender]],"M","Male","F","Female","Unknown")</f>
        <v>Male</v>
      </c>
      <c r="N2">
        <v>10</v>
      </c>
      <c r="O2">
        <v>19</v>
      </c>
      <c r="P2" t="b">
        <f>AND(N2&gt;15,O2&gt;15)</f>
        <v>0</v>
      </c>
    </row>
    <row r="3" spans="1:22" x14ac:dyDescent="0.35">
      <c r="A3" s="9" t="s">
        <v>52</v>
      </c>
      <c r="B3" s="9">
        <v>72</v>
      </c>
      <c r="C3" s="9">
        <v>88</v>
      </c>
      <c r="D3" s="9" t="s">
        <v>53</v>
      </c>
      <c r="E3" t="str">
        <f t="shared" ref="E3:E6" si="0">IF(B3&gt;50,"Pass","Fail")</f>
        <v>Pass</v>
      </c>
      <c r="F3" t="str">
        <f>IF(AND(Table5[[#This Row],[Marks]]&gt;50,Table5[[#This Row],[Attendance (%)]]&gt;80),"Allow","Not Allow")</f>
        <v>Allow</v>
      </c>
      <c r="G3" t="str">
        <f>IF(OR(Table5[[#This Row],[Marks]]&gt;90,Table5[[#This Row],[Attendance (%)]]&gt;90),"Scholarship","No Scholarship")</f>
        <v>No Scholarship</v>
      </c>
      <c r="H3" t="str">
        <f>IF(Table5[[#This Row],[Marks]]&gt;80,"A",IF(Table5[[#This Row],[Marks]]&gt;60,"B",IF(Table5[[#This Row],[Marks]]&gt;50,"C","D")))</f>
        <v>B</v>
      </c>
      <c r="I3" t="str" cm="1">
        <f t="array" ref="I3">_xlfn.IFS(Table5[[#This Row],[Marks]]&gt;=85,"A", Table5[[#This Row],[Marks]]&gt;=60,"B",Table5[[#This Row],[Marks]]&gt;=50,"C",Table5[[#This Row],[Marks]]&lt;50,"Fail")</f>
        <v>B</v>
      </c>
      <c r="J3" t="str" cm="1">
        <f t="array" ref="J3">_xlfn.SWITCH(Table5[[#This Row],[Gender]],"M","Male","F","Female","Unknown")</f>
        <v>Female</v>
      </c>
      <c r="N3">
        <v>13</v>
      </c>
      <c r="O3">
        <v>15</v>
      </c>
    </row>
    <row r="4" spans="1:22" x14ac:dyDescent="0.35">
      <c r="A4" s="9" t="s">
        <v>54</v>
      </c>
      <c r="B4" s="9">
        <v>91</v>
      </c>
      <c r="C4" s="9">
        <v>75</v>
      </c>
      <c r="D4" s="9" t="s">
        <v>51</v>
      </c>
      <c r="E4" t="str">
        <f t="shared" si="0"/>
        <v>Pass</v>
      </c>
      <c r="F4" t="str">
        <f>IF(AND(Table5[[#This Row],[Marks]]&gt;50,Table5[[#This Row],[Attendance (%)]]&gt;80),"Allow","Not Allow")</f>
        <v>Not Allow</v>
      </c>
      <c r="G4" t="str">
        <f>IF(OR(Table5[[#This Row],[Marks]]&gt;90,Table5[[#This Row],[Attendance (%)]]&gt;90),"Scholarship","No Scholarship")</f>
        <v>Scholarship</v>
      </c>
      <c r="H4" t="str">
        <f>IF(Table5[[#This Row],[Marks]]&gt;80,"A",IF(Table5[[#This Row],[Marks]]&gt;60,"B",IF(Table5[[#This Row],[Marks]]&gt;50,"C","D")))</f>
        <v>A</v>
      </c>
      <c r="I4" t="str" cm="1">
        <f t="array" ref="I4">_xlfn.IFS(Table5[[#This Row],[Marks]]&gt;=85,"A", Table5[[#This Row],[Marks]]&gt;=60,"B",Table5[[#This Row],[Marks]]&gt;=50,"C",Table5[[#This Row],[Marks]]&lt;50,"Fail")</f>
        <v>A</v>
      </c>
      <c r="J4" t="str" cm="1">
        <f t="array" ref="J4">_xlfn.SWITCH(Table5[[#This Row],[Gender]],"M","Male","F","Female","Unknown")</f>
        <v>Male</v>
      </c>
      <c r="N4">
        <v>19</v>
      </c>
      <c r="O4">
        <v>18</v>
      </c>
    </row>
    <row r="5" spans="1:22" x14ac:dyDescent="0.35">
      <c r="A5" s="9" t="s">
        <v>14</v>
      </c>
      <c r="B5" s="9">
        <v>40</v>
      </c>
      <c r="C5" s="9">
        <v>90</v>
      </c>
      <c r="D5" s="9" t="s">
        <v>53</v>
      </c>
      <c r="E5" t="str">
        <f t="shared" si="0"/>
        <v>Fail</v>
      </c>
      <c r="F5" t="str">
        <f>IF(AND(Table5[[#This Row],[Marks]]&gt;50,Table5[[#This Row],[Attendance (%)]]&gt;80),"Allow","Not Allow")</f>
        <v>Not Allow</v>
      </c>
      <c r="G5" t="str">
        <f>IF(OR(Table5[[#This Row],[Marks]]&gt;90,Table5[[#This Row],[Attendance (%)]]&gt;90),"Scholarship","No Scholarship")</f>
        <v>No Scholarship</v>
      </c>
      <c r="H5" t="str">
        <f>IF(Table5[[#This Row],[Marks]]&gt;80,"A",IF(Table5[[#This Row],[Marks]]&gt;60,"B",IF(Table5[[#This Row],[Marks]]&gt;50,"C","D")))</f>
        <v>D</v>
      </c>
      <c r="I5" t="str" cm="1">
        <f t="array" ref="I5">_xlfn.IFS(Table5[[#This Row],[Marks]]&gt;=85,"A", Table5[[#This Row],[Marks]]&gt;=60,"B",Table5[[#This Row],[Marks]]&gt;=50,"C",Table5[[#This Row],[Marks]]&lt;50,"Fail")</f>
        <v>Fail</v>
      </c>
      <c r="J5" t="str" cm="1">
        <f t="array" ref="J5">_xlfn.SWITCH(Table5[[#This Row],[Gender]],"M","Male","F","Female","Unknown")</f>
        <v>Female</v>
      </c>
      <c r="N5">
        <v>19</v>
      </c>
      <c r="O5">
        <v>11</v>
      </c>
    </row>
    <row r="6" spans="1:22" x14ac:dyDescent="0.35">
      <c r="A6" s="9" t="s">
        <v>34</v>
      </c>
      <c r="B6" s="9">
        <v>90</v>
      </c>
      <c r="C6" s="9">
        <v>95</v>
      </c>
      <c r="D6" s="9" t="s">
        <v>51</v>
      </c>
      <c r="E6" t="str">
        <f t="shared" si="0"/>
        <v>Pass</v>
      </c>
      <c r="F6" t="str">
        <f>IF(AND(Table5[[#This Row],[Marks]]&gt;50,Table5[[#This Row],[Attendance (%)]]&gt;80),"Allow","Not Allow")</f>
        <v>Allow</v>
      </c>
      <c r="G6" t="str">
        <f>IF(OR(Table5[[#This Row],[Marks]]&gt;90,Table5[[#This Row],[Attendance (%)]]&gt;90),"Scholarship","No Scholarship")</f>
        <v>Scholarship</v>
      </c>
      <c r="H6" t="str">
        <f>IF(Table5[[#This Row],[Marks]]&gt;80,"A",IF(Table5[[#This Row],[Marks]]&gt;60,"B",IF(Table5[[#This Row],[Marks]]&gt;50,"C","D")))</f>
        <v>A</v>
      </c>
      <c r="I6" t="str" cm="1">
        <f t="array" ref="I6">_xlfn.IFS(Table5[[#This Row],[Marks]]&gt;=85,"A", Table5[[#This Row],[Marks]]&gt;=60,"B",Table5[[#This Row],[Marks]]&gt;=50,"C",Table5[[#This Row],[Marks]]&lt;50,"Fail")</f>
        <v>A</v>
      </c>
      <c r="J6" t="str" cm="1">
        <f t="array" ref="J6">_xlfn.SWITCH(Table5[[#This Row],[Gender]],"M","Male","F","Female","Unknown")</f>
        <v>Male</v>
      </c>
      <c r="N6">
        <v>19</v>
      </c>
      <c r="O6">
        <v>19</v>
      </c>
    </row>
    <row r="7" spans="1:22" x14ac:dyDescent="0.35">
      <c r="B7" s="1"/>
      <c r="C7" s="1"/>
      <c r="D7" s="1" t="s">
        <v>46</v>
      </c>
      <c r="F7" t="str">
        <f>IF(AND(Table5[[#This Row],[Marks]]&gt;50,Table5[[#This Row],[Attendance (%)]]&gt;80),"Allow","Not Allow")</f>
        <v>Not Allow</v>
      </c>
      <c r="G7" t="str">
        <f>IF(OR(Table5[[#This Row],[Marks]]&gt;90,Table5[[#This Row],[Attendance (%)]]&gt;90),"Scholarship","No Scholarship")</f>
        <v>No Scholarship</v>
      </c>
      <c r="H7" t="str">
        <f>IF(Table5[[#This Row],[Marks]]&gt;80,"A",IF(Table5[[#This Row],[Marks]]&gt;60,"B",IF(Table5[[#This Row],[Marks]]&gt;50,"C","D")))</f>
        <v>D</v>
      </c>
      <c r="I7" t="str" cm="1">
        <f t="array" ref="I7">_xlfn.IFS(Table5[[#This Row],[Marks]]&gt;=85,"A", Table5[[#This Row],[Marks]]&gt;=60,"B",Table5[[#This Row],[Marks]]&gt;=50,"C",Table5[[#This Row],[Marks]]&lt;50,"Fail")</f>
        <v>Fail</v>
      </c>
      <c r="J7" t="str" cm="1">
        <f t="array" ref="J7">_xlfn.SWITCH(Table5[[#This Row],[Gender]],"M","Male","F","Female","Unknown")</f>
        <v>Unknown</v>
      </c>
      <c r="N7">
        <v>12</v>
      </c>
      <c r="O7">
        <v>17</v>
      </c>
    </row>
    <row r="8" spans="1:22" x14ac:dyDescent="0.35">
      <c r="N8">
        <v>18</v>
      </c>
      <c r="O8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zoomScale="179" workbookViewId="0">
      <selection activeCell="F8" sqref="F8:G8"/>
    </sheetView>
  </sheetViews>
  <sheetFormatPr defaultRowHeight="14.5" x14ac:dyDescent="0.35"/>
  <cols>
    <col min="1" max="1" width="12.54296875" bestFit="1" customWidth="1"/>
    <col min="2" max="2" width="18.81640625" bestFit="1" customWidth="1"/>
  </cols>
  <sheetData>
    <row r="1" spans="1:7" x14ac:dyDescent="0.35">
      <c r="A1" s="11" t="s">
        <v>167</v>
      </c>
      <c r="B1" s="11" t="s">
        <v>168</v>
      </c>
      <c r="D1">
        <v>0</v>
      </c>
      <c r="E1">
        <v>1</v>
      </c>
      <c r="F1">
        <f>D1/E1</f>
        <v>0</v>
      </c>
      <c r="G1">
        <f>IFERROR(D1/E1, "Error")</f>
        <v>0</v>
      </c>
    </row>
    <row r="2" spans="1:7" x14ac:dyDescent="0.35">
      <c r="A2" s="13" t="e">
        <v>#DIV/0!</v>
      </c>
      <c r="B2" s="13" t="s">
        <v>169</v>
      </c>
      <c r="D2">
        <v>3</v>
      </c>
      <c r="E2">
        <v>2</v>
      </c>
      <c r="F2">
        <f t="shared" ref="F2:F7" si="0">D2/E2</f>
        <v>1.5</v>
      </c>
      <c r="G2">
        <f t="shared" ref="G2:G7" si="1">IFERROR(D2/E2, "Error")</f>
        <v>1.5</v>
      </c>
    </row>
    <row r="3" spans="1:7" x14ac:dyDescent="0.35">
      <c r="A3" s="13" t="e">
        <v>#N/A</v>
      </c>
      <c r="B3" s="13" t="s">
        <v>170</v>
      </c>
      <c r="C3" s="12"/>
      <c r="D3">
        <v>1</v>
      </c>
      <c r="E3">
        <v>0</v>
      </c>
      <c r="F3" t="e">
        <f t="shared" si="0"/>
        <v>#DIV/0!</v>
      </c>
      <c r="G3" t="str">
        <f t="shared" si="1"/>
        <v>Error</v>
      </c>
    </row>
    <row r="4" spans="1:7" x14ac:dyDescent="0.35">
      <c r="A4" s="13" t="e">
        <v>#VALUE!</v>
      </c>
      <c r="B4" s="13" t="s">
        <v>171</v>
      </c>
      <c r="D4">
        <v>0</v>
      </c>
      <c r="E4">
        <v>0</v>
      </c>
      <c r="F4" t="e">
        <f t="shared" si="0"/>
        <v>#DIV/0!</v>
      </c>
      <c r="G4" t="str">
        <f t="shared" si="1"/>
        <v>Error</v>
      </c>
    </row>
    <row r="5" spans="1:7" x14ac:dyDescent="0.35">
      <c r="A5" s="13" t="s">
        <v>166</v>
      </c>
      <c r="B5" s="13" t="s">
        <v>172</v>
      </c>
      <c r="D5">
        <v>3</v>
      </c>
      <c r="E5">
        <v>1</v>
      </c>
      <c r="F5">
        <f t="shared" si="0"/>
        <v>3</v>
      </c>
      <c r="G5">
        <f t="shared" si="1"/>
        <v>3</v>
      </c>
    </row>
    <row r="6" spans="1:7" x14ac:dyDescent="0.35">
      <c r="A6" s="13" t="e">
        <v>#NAME?</v>
      </c>
      <c r="B6" s="13" t="s">
        <v>173</v>
      </c>
      <c r="D6">
        <v>1</v>
      </c>
      <c r="E6">
        <v>2</v>
      </c>
      <c r="F6">
        <f t="shared" si="0"/>
        <v>0.5</v>
      </c>
      <c r="G6">
        <f t="shared" si="1"/>
        <v>0.5</v>
      </c>
    </row>
    <row r="7" spans="1:7" x14ac:dyDescent="0.35">
      <c r="A7" s="13" t="e">
        <v>#NUM!</v>
      </c>
      <c r="B7" s="13" t="s">
        <v>174</v>
      </c>
      <c r="D7">
        <v>1</v>
      </c>
      <c r="E7">
        <v>0</v>
      </c>
      <c r="F7" t="e">
        <f t="shared" si="0"/>
        <v>#DIV/0!</v>
      </c>
      <c r="G7" t="str">
        <f t="shared" si="1"/>
        <v>Error</v>
      </c>
    </row>
    <row r="8" spans="1:7" x14ac:dyDescent="0.35">
      <c r="A8" s="12"/>
      <c r="B8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0"/>
  <sheetViews>
    <sheetView zoomScale="162" workbookViewId="0">
      <selection activeCell="Q11" sqref="Q11"/>
    </sheetView>
  </sheetViews>
  <sheetFormatPr defaultRowHeight="14.5" x14ac:dyDescent="0.35"/>
  <cols>
    <col min="1" max="1" width="15.6328125" bestFit="1" customWidth="1"/>
    <col min="2" max="2" width="17.1796875" bestFit="1" customWidth="1"/>
    <col min="3" max="3" width="14.7265625" bestFit="1" customWidth="1"/>
    <col min="4" max="4" width="16" bestFit="1" customWidth="1"/>
    <col min="5" max="5" width="12.81640625" customWidth="1"/>
    <col min="6" max="6" width="9.453125" bestFit="1" customWidth="1"/>
    <col min="7" max="7" width="8.453125" bestFit="1" customWidth="1"/>
    <col min="8" max="8" width="8.08984375" bestFit="1" customWidth="1"/>
    <col min="9" max="9" width="11.90625" bestFit="1" customWidth="1"/>
    <col min="10" max="10" width="18.08984375" bestFit="1" customWidth="1"/>
    <col min="11" max="11" width="14.26953125" customWidth="1"/>
    <col min="12" max="12" width="12.36328125" bestFit="1" customWidth="1"/>
    <col min="13" max="13" width="24.1796875" bestFit="1" customWidth="1"/>
    <col min="14" max="14" width="18.7265625" customWidth="1"/>
    <col min="15" max="15" width="9" customWidth="1"/>
    <col min="16" max="16" width="10.7265625" bestFit="1" customWidth="1"/>
    <col min="17" max="17" width="26.36328125" bestFit="1" customWidth="1"/>
    <col min="18" max="18" width="15.54296875" customWidth="1"/>
    <col min="24" max="24" width="19" bestFit="1" customWidth="1"/>
    <col min="25" max="25" width="12.453125" customWidth="1"/>
    <col min="28" max="28" width="20.453125" customWidth="1"/>
    <col min="29" max="29" width="26.7265625" customWidth="1"/>
    <col min="31" max="31" width="19.7265625" customWidth="1"/>
  </cols>
  <sheetData>
    <row r="1" spans="1:34" x14ac:dyDescent="0.35">
      <c r="A1" s="5" t="s">
        <v>68</v>
      </c>
      <c r="B1" s="5" t="s">
        <v>69</v>
      </c>
      <c r="C1" s="5" t="s">
        <v>70</v>
      </c>
      <c r="D1" s="5" t="s">
        <v>71</v>
      </c>
      <c r="E1" s="5" t="s">
        <v>78</v>
      </c>
      <c r="F1" s="5" t="s">
        <v>79</v>
      </c>
      <c r="G1" s="5" t="s">
        <v>80</v>
      </c>
      <c r="H1" s="5" t="s">
        <v>81</v>
      </c>
      <c r="I1" s="5" t="s">
        <v>82</v>
      </c>
      <c r="J1" s="5" t="s">
        <v>83</v>
      </c>
      <c r="K1" s="5" t="s">
        <v>84</v>
      </c>
      <c r="L1" s="5" t="s">
        <v>85</v>
      </c>
      <c r="M1" s="5" t="s">
        <v>86</v>
      </c>
      <c r="N1" s="5" t="s">
        <v>87</v>
      </c>
      <c r="O1" s="5" t="s">
        <v>88</v>
      </c>
      <c r="P1" s="5" t="s">
        <v>89</v>
      </c>
      <c r="Q1" s="5" t="s">
        <v>90</v>
      </c>
      <c r="R1" s="18" t="s">
        <v>136</v>
      </c>
      <c r="S1" s="45" t="s">
        <v>271</v>
      </c>
      <c r="Y1" t="s">
        <v>123</v>
      </c>
      <c r="Z1" t="s">
        <v>124</v>
      </c>
      <c r="AA1" t="s">
        <v>125</v>
      </c>
      <c r="AB1" t="s">
        <v>126</v>
      </c>
      <c r="AC1" t="s">
        <v>133</v>
      </c>
      <c r="AE1" t="s">
        <v>135</v>
      </c>
      <c r="AF1" t="str">
        <f>MID(AE1,(FIND(" ",AE1,1)),5)</f>
        <v xml:space="preserve"> Mohd</v>
      </c>
      <c r="AH1">
        <f>FIND(" ",AE1,1)</f>
        <v>7</v>
      </c>
    </row>
    <row r="2" spans="1:34" x14ac:dyDescent="0.35">
      <c r="A2" s="6" t="s">
        <v>122</v>
      </c>
      <c r="B2" s="7" t="s">
        <v>72</v>
      </c>
      <c r="C2" s="6" t="s">
        <v>73</v>
      </c>
      <c r="D2" s="6" t="s">
        <v>74</v>
      </c>
      <c r="E2" t="str">
        <f>LEFT(A2,5)</f>
        <v>rahul</v>
      </c>
      <c r="F2" t="str">
        <f>RIGHT(A2,6)</f>
        <v xml:space="preserve">ma    </v>
      </c>
      <c r="G2" t="str">
        <f>MID(A2,2,4)</f>
        <v>ahul</v>
      </c>
      <c r="H2">
        <f>LEN(A2)</f>
        <v>20</v>
      </c>
      <c r="I2" t="str">
        <f>TRIM(A2)</f>
        <v>rahul sharma</v>
      </c>
      <c r="J2" t="str">
        <f>UPPER(I2)</f>
        <v>RAHUL SHARMA</v>
      </c>
      <c r="K2" t="str">
        <f>LOWER(J2)</f>
        <v>rahul sharma</v>
      </c>
      <c r="L2" t="str">
        <f>PROPER(K2)</f>
        <v>Rahul Sharma</v>
      </c>
      <c r="M2" t="str">
        <f>_xlfn.CONCAT(L2," - ",D2)</f>
        <v>Rahul Sharma - Order-ID:12345</v>
      </c>
      <c r="O2">
        <f>FIND("ID",D2)</f>
        <v>7</v>
      </c>
      <c r="P2">
        <f>SEARCH("Id",D2)</f>
        <v>7</v>
      </c>
      <c r="Q2" t="str">
        <f>SUBSTITUTE(M2,"Order-ID", "")</f>
        <v>Rahul Sharma - :12345</v>
      </c>
      <c r="U2" t="s">
        <v>270</v>
      </c>
      <c r="V2" t="s">
        <v>267</v>
      </c>
      <c r="W2" t="str">
        <f>U2&amp;" "&amp;V2</f>
        <v>Ansari Tarique</v>
      </c>
      <c r="Y2" t="s">
        <v>127</v>
      </c>
      <c r="Z2">
        <v>10</v>
      </c>
      <c r="AA2" t="s">
        <v>128</v>
      </c>
      <c r="AB2" t="s">
        <v>131</v>
      </c>
      <c r="AC2" t="s">
        <v>134</v>
      </c>
      <c r="AE2" t="s">
        <v>192</v>
      </c>
      <c r="AF2" t="str">
        <f>MID(AE2,(FIND(" ",AE2,1)),5)</f>
        <v xml:space="preserve"> sahi</v>
      </c>
    </row>
    <row r="3" spans="1:34" x14ac:dyDescent="0.35">
      <c r="A3" s="6" t="s">
        <v>137</v>
      </c>
      <c r="B3" s="7" t="s">
        <v>75</v>
      </c>
      <c r="C3" s="6" t="s">
        <v>76</v>
      </c>
      <c r="D3" s="6" t="s">
        <v>77</v>
      </c>
      <c r="E3" t="str">
        <f>LEFT(A3,5)</f>
        <v>aisha</v>
      </c>
      <c r="F3" t="str">
        <f>RIGHT(A3,6)</f>
        <v>a Khan</v>
      </c>
      <c r="G3" t="str">
        <f>MID(A3,7,6)</f>
        <v>Khan</v>
      </c>
      <c r="H3">
        <f>LEN(A3)</f>
        <v>10</v>
      </c>
      <c r="I3" t="str">
        <f>TRIM(A3)</f>
        <v>aisha Khan</v>
      </c>
      <c r="J3" t="str">
        <f>UPPER(I3)</f>
        <v>AISHA KHAN</v>
      </c>
      <c r="K3" t="str">
        <f>LOWER(J3)</f>
        <v>aisha khan</v>
      </c>
      <c r="L3" t="str">
        <f>PROPER(K3)</f>
        <v>Aisha Khan</v>
      </c>
      <c r="M3" t="str">
        <f>_xlfn.CONCAT(L3," - ",D3)</f>
        <v>Aisha Khan - Order-ID:67890</v>
      </c>
      <c r="O3" t="e">
        <f>FIND("khan",A3)</f>
        <v>#VALUE!</v>
      </c>
      <c r="P3">
        <f>SEARCH("Id",D3)</f>
        <v>7</v>
      </c>
      <c r="Q3" t="str">
        <f>SUBSTITUTE(M3,"Order-ID", "")</f>
        <v>Aisha Khan - :67890</v>
      </c>
      <c r="Y3" t="s">
        <v>129</v>
      </c>
      <c r="AA3" t="s">
        <v>130</v>
      </c>
      <c r="AB3" t="s">
        <v>132</v>
      </c>
    </row>
    <row r="6" spans="1:34" x14ac:dyDescent="0.35">
      <c r="A6" t="s">
        <v>272</v>
      </c>
      <c r="B6" t="s">
        <v>274</v>
      </c>
      <c r="C6" t="s">
        <v>273</v>
      </c>
      <c r="D6" t="s">
        <v>277</v>
      </c>
    </row>
    <row r="7" spans="1:34" x14ac:dyDescent="0.35">
      <c r="A7" t="s">
        <v>14</v>
      </c>
      <c r="B7" t="s">
        <v>275</v>
      </c>
      <c r="C7" t="s">
        <v>276</v>
      </c>
      <c r="D7" t="str">
        <f>_xlfn.TEXTJOIN(" - ",TRUE,A7,B7,C7)</f>
        <v>Neha - Nikhil - Shelar</v>
      </c>
    </row>
    <row r="8" spans="1:34" x14ac:dyDescent="0.35">
      <c r="A8" t="s">
        <v>278</v>
      </c>
      <c r="C8" t="s">
        <v>241</v>
      </c>
      <c r="D8" t="str">
        <f>_xlfn.TEXTJOIN(" - ",TRUE,A8,B8,C8)</f>
        <v>salman - Khan</v>
      </c>
    </row>
    <row r="10" spans="1:34" x14ac:dyDescent="0.35">
      <c r="A10" t="s">
        <v>279</v>
      </c>
      <c r="B10" t="str">
        <f>REPLACE(A10, 1,3, "Tar")</f>
        <v>Tarson A</v>
      </c>
    </row>
  </sheetData>
  <hyperlinks>
    <hyperlink ref="B2" r:id="rId1" display="mailto:RAHUL@gmail.com" xr:uid="{00000000-0004-0000-0300-000000000000}"/>
    <hyperlink ref="B3" r:id="rId2" display="mailto:aisha@Yahoo.COM" xr:uid="{00000000-0004-0000-0300-00000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tabSelected="1" topLeftCell="A2" zoomScale="153" workbookViewId="0">
      <selection activeCell="D11" sqref="D11"/>
    </sheetView>
  </sheetViews>
  <sheetFormatPr defaultRowHeight="14.5" x14ac:dyDescent="0.35"/>
  <cols>
    <col min="1" max="1" width="15.36328125" bestFit="1" customWidth="1"/>
    <col min="2" max="2" width="15.1796875" bestFit="1" customWidth="1"/>
    <col min="3" max="3" width="13.08984375" bestFit="1" customWidth="1"/>
  </cols>
  <sheetData>
    <row r="1" spans="1:3" x14ac:dyDescent="0.35">
      <c r="B1" s="10" t="s">
        <v>9</v>
      </c>
      <c r="C1" s="10" t="s">
        <v>91</v>
      </c>
    </row>
    <row r="2" spans="1:3" x14ac:dyDescent="0.35">
      <c r="B2" s="4">
        <v>44986</v>
      </c>
      <c r="C2" s="4">
        <v>45884</v>
      </c>
    </row>
    <row r="3" spans="1:3" x14ac:dyDescent="0.35">
      <c r="A3" s="10" t="s">
        <v>92</v>
      </c>
    </row>
    <row r="4" spans="1:3" x14ac:dyDescent="0.35">
      <c r="A4" s="3" t="s">
        <v>93</v>
      </c>
      <c r="B4" s="19">
        <f ca="1">TODAY()</f>
        <v>46237</v>
      </c>
    </row>
    <row r="5" spans="1:3" x14ac:dyDescent="0.35">
      <c r="A5" s="3" t="s">
        <v>94</v>
      </c>
      <c r="B5" s="23">
        <f ca="1">NOW()</f>
        <v>46237.868343981485</v>
      </c>
    </row>
    <row r="6" spans="1:3" x14ac:dyDescent="0.35">
      <c r="A6" s="3" t="s">
        <v>95</v>
      </c>
      <c r="B6" s="19">
        <f>DATE(2025, 12,22)</f>
        <v>46013</v>
      </c>
      <c r="C6" s="19">
        <f>DATE(2025,12,23)</f>
        <v>46014</v>
      </c>
    </row>
    <row r="7" spans="1:3" x14ac:dyDescent="0.35">
      <c r="A7" s="3" t="s">
        <v>96</v>
      </c>
      <c r="B7">
        <f>YEAR(B2)</f>
        <v>2023</v>
      </c>
    </row>
    <row r="8" spans="1:3" x14ac:dyDescent="0.35">
      <c r="A8" s="3" t="s">
        <v>97</v>
      </c>
      <c r="B8">
        <f>MONTH(B2)</f>
        <v>3</v>
      </c>
    </row>
    <row r="9" spans="1:3" x14ac:dyDescent="0.35">
      <c r="A9" s="3" t="s">
        <v>98</v>
      </c>
      <c r="B9">
        <f>DAY(B2)</f>
        <v>1</v>
      </c>
    </row>
    <row r="10" spans="1:3" x14ac:dyDescent="0.35">
      <c r="A10" s="3" t="s">
        <v>99</v>
      </c>
      <c r="B10">
        <f>DATEDIF(B2,C2,"m")</f>
        <v>29</v>
      </c>
    </row>
    <row r="11" spans="1:3" x14ac:dyDescent="0.35">
      <c r="A11" s="3" t="s">
        <v>100</v>
      </c>
      <c r="B11" s="19">
        <f ca="1">WORKDAY(B4,10)</f>
        <v>46251</v>
      </c>
    </row>
    <row r="12" spans="1:3" x14ac:dyDescent="0.35">
      <c r="A12" s="3" t="s">
        <v>101</v>
      </c>
      <c r="B12">
        <f>NETWORKDAYS(B2,C2)</f>
        <v>643</v>
      </c>
    </row>
    <row r="13" spans="1:3" x14ac:dyDescent="0.35">
      <c r="A13" s="3" t="s">
        <v>102</v>
      </c>
      <c r="B13" s="19">
        <f>EOMONTH(B2,0)</f>
        <v>45016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S13"/>
  <sheetViews>
    <sheetView zoomScale="117" workbookViewId="0">
      <selection activeCell="H8" sqref="H8"/>
    </sheetView>
  </sheetViews>
  <sheetFormatPr defaultRowHeight="14.5" x14ac:dyDescent="0.35"/>
  <cols>
    <col min="1" max="2" width="10.08984375" bestFit="1" customWidth="1"/>
    <col min="3" max="3" width="10.81640625" bestFit="1" customWidth="1"/>
    <col min="4" max="4" width="7.90625" bestFit="1" customWidth="1"/>
    <col min="5" max="5" width="7.26953125" bestFit="1" customWidth="1"/>
    <col min="6" max="6" width="12.1796875" bestFit="1" customWidth="1"/>
    <col min="9" max="9" width="14.6328125" customWidth="1"/>
    <col min="11" max="11" width="22.81640625" bestFit="1" customWidth="1"/>
  </cols>
  <sheetData>
    <row r="1" spans="2:19" x14ac:dyDescent="0.35">
      <c r="O1" t="s">
        <v>196</v>
      </c>
      <c r="P1" t="s">
        <v>197</v>
      </c>
    </row>
    <row r="2" spans="2:19" x14ac:dyDescent="0.35">
      <c r="B2" s="16" t="s">
        <v>103</v>
      </c>
      <c r="C2" s="16" t="s">
        <v>104</v>
      </c>
      <c r="D2" s="16" t="s">
        <v>105</v>
      </c>
      <c r="E2" s="16" t="s">
        <v>106</v>
      </c>
      <c r="F2" s="16" t="s">
        <v>107</v>
      </c>
      <c r="O2" t="s">
        <v>193</v>
      </c>
      <c r="P2">
        <v>10</v>
      </c>
      <c r="R2">
        <f>COUNTIF(O2:O11,"a")</f>
        <v>5</v>
      </c>
      <c r="S2">
        <f>SUMIF(O2:O11,"a",P2:P11)</f>
        <v>81</v>
      </c>
    </row>
    <row r="3" spans="2:19" x14ac:dyDescent="0.35">
      <c r="B3" s="17">
        <v>45658</v>
      </c>
      <c r="C3" s="9" t="s">
        <v>17</v>
      </c>
      <c r="D3" s="9" t="s">
        <v>108</v>
      </c>
      <c r="E3" s="9" t="s">
        <v>109</v>
      </c>
      <c r="F3" s="9">
        <v>25000</v>
      </c>
      <c r="I3" s="13" t="s">
        <v>114</v>
      </c>
      <c r="J3">
        <f>SUM(Sales_Amount)</f>
        <v>403400</v>
      </c>
      <c r="O3" t="s">
        <v>194</v>
      </c>
      <c r="P3">
        <v>20</v>
      </c>
      <c r="R3">
        <f>COUNTIF(O2:O11,"b")</f>
        <v>3</v>
      </c>
      <c r="S3">
        <f>SUMIF(O2:O11,"b",P2:P11)</f>
        <v>43</v>
      </c>
    </row>
    <row r="4" spans="2:19" x14ac:dyDescent="0.35">
      <c r="B4" s="17">
        <v>45659</v>
      </c>
      <c r="C4" s="9" t="s">
        <v>52</v>
      </c>
      <c r="D4" s="9" t="s">
        <v>110</v>
      </c>
      <c r="E4" s="9" t="s">
        <v>111</v>
      </c>
      <c r="F4" s="9">
        <v>55000</v>
      </c>
      <c r="I4" s="13" t="s">
        <v>115</v>
      </c>
      <c r="J4">
        <f>COUNT(Sales_Amount)</f>
        <v>10</v>
      </c>
      <c r="K4">
        <f>COUNT(C3:C12)</f>
        <v>0</v>
      </c>
      <c r="O4" t="s">
        <v>195</v>
      </c>
      <c r="P4">
        <v>14</v>
      </c>
      <c r="R4">
        <f>COUNTIF(O2:O11,"c")</f>
        <v>2</v>
      </c>
      <c r="S4">
        <f>SUMIF(O2:O11,"c",P2:P11)</f>
        <v>27</v>
      </c>
    </row>
    <row r="5" spans="2:19" x14ac:dyDescent="0.35">
      <c r="B5" s="17">
        <v>45660</v>
      </c>
      <c r="C5" s="9" t="s">
        <v>17</v>
      </c>
      <c r="D5" s="9" t="s">
        <v>108</v>
      </c>
      <c r="E5" s="9" t="s">
        <v>111</v>
      </c>
      <c r="F5" s="9">
        <v>23400</v>
      </c>
      <c r="I5" s="13" t="s">
        <v>280</v>
      </c>
      <c r="J5">
        <f>AVERAGE(Sales_Amount)</f>
        <v>40340</v>
      </c>
      <c r="O5" t="s">
        <v>193</v>
      </c>
      <c r="P5">
        <v>20</v>
      </c>
    </row>
    <row r="6" spans="2:19" x14ac:dyDescent="0.35">
      <c r="B6" s="17">
        <v>45661</v>
      </c>
      <c r="C6" s="9" t="s">
        <v>54</v>
      </c>
      <c r="D6" s="9" t="s">
        <v>112</v>
      </c>
      <c r="E6" s="9" t="s">
        <v>109</v>
      </c>
      <c r="F6" s="9">
        <v>22000</v>
      </c>
      <c r="I6" s="13" t="s">
        <v>116</v>
      </c>
      <c r="J6">
        <f>SUMIF(C3:C12,"Rahul",Sales_Amount)</f>
        <v>238400</v>
      </c>
      <c r="O6" t="s">
        <v>194</v>
      </c>
      <c r="P6">
        <v>11</v>
      </c>
    </row>
    <row r="7" spans="2:19" x14ac:dyDescent="0.35">
      <c r="B7" s="17">
        <v>45662</v>
      </c>
      <c r="C7" s="9" t="s">
        <v>52</v>
      </c>
      <c r="D7" s="9" t="s">
        <v>110</v>
      </c>
      <c r="E7" s="9" t="s">
        <v>109</v>
      </c>
      <c r="F7" s="9">
        <v>18000</v>
      </c>
      <c r="I7" s="13" t="s">
        <v>117</v>
      </c>
      <c r="J7">
        <f>COUNTIF(C3:C12,"Rahul")</f>
        <v>5</v>
      </c>
      <c r="O7" t="s">
        <v>193</v>
      </c>
      <c r="P7">
        <v>12</v>
      </c>
    </row>
    <row r="8" spans="2:19" x14ac:dyDescent="0.35">
      <c r="B8" s="17">
        <v>45663</v>
      </c>
      <c r="C8" s="9" t="s">
        <v>17</v>
      </c>
      <c r="D8" s="9" t="s">
        <v>113</v>
      </c>
      <c r="E8" s="9" t="s">
        <v>111</v>
      </c>
      <c r="F8" s="9">
        <v>60000</v>
      </c>
      <c r="I8" s="13" t="s">
        <v>281</v>
      </c>
      <c r="O8" t="s">
        <v>194</v>
      </c>
      <c r="P8">
        <v>12</v>
      </c>
    </row>
    <row r="9" spans="2:19" x14ac:dyDescent="0.35">
      <c r="B9" s="17">
        <v>45664</v>
      </c>
      <c r="C9" s="9" t="s">
        <v>17</v>
      </c>
      <c r="D9" s="9" t="s">
        <v>108</v>
      </c>
      <c r="E9" s="9" t="s">
        <v>109</v>
      </c>
      <c r="F9" s="13">
        <v>50000</v>
      </c>
      <c r="I9" s="13" t="s">
        <v>118</v>
      </c>
      <c r="J9">
        <f>SUMIFS(Sales_Amount,C3:C12,"Rahul",D3:D12,"North")</f>
        <v>178400</v>
      </c>
      <c r="K9">
        <f>SUMIFS(Sales_Amount,Salesperson,"Rahul",Region,"North",Product,"Mobile")</f>
        <v>75000</v>
      </c>
      <c r="O9" t="s">
        <v>193</v>
      </c>
      <c r="P9">
        <v>19</v>
      </c>
    </row>
    <row r="10" spans="2:19" x14ac:dyDescent="0.35">
      <c r="B10" s="17">
        <v>45665</v>
      </c>
      <c r="C10" s="9" t="s">
        <v>52</v>
      </c>
      <c r="D10" s="9" t="s">
        <v>110</v>
      </c>
      <c r="E10" s="9" t="s">
        <v>111</v>
      </c>
      <c r="F10" s="9">
        <v>45000</v>
      </c>
      <c r="I10" s="13" t="s">
        <v>119</v>
      </c>
      <c r="O10" t="s">
        <v>195</v>
      </c>
      <c r="P10">
        <v>13</v>
      </c>
    </row>
    <row r="11" spans="2:19" x14ac:dyDescent="0.35">
      <c r="B11" s="17">
        <v>45666</v>
      </c>
      <c r="C11" s="9" t="s">
        <v>17</v>
      </c>
      <c r="D11" s="9" t="s">
        <v>108</v>
      </c>
      <c r="E11" s="9" t="s">
        <v>111</v>
      </c>
      <c r="F11" s="9">
        <v>80000</v>
      </c>
      <c r="I11" s="13" t="s">
        <v>282</v>
      </c>
      <c r="O11" t="s">
        <v>193</v>
      </c>
      <c r="P11">
        <v>20</v>
      </c>
    </row>
    <row r="12" spans="2:19" x14ac:dyDescent="0.35">
      <c r="B12" s="17">
        <v>45667</v>
      </c>
      <c r="C12" s="9" t="s">
        <v>54</v>
      </c>
      <c r="D12" s="9" t="s">
        <v>112</v>
      </c>
      <c r="E12" s="9" t="s">
        <v>109</v>
      </c>
      <c r="F12" s="9">
        <v>25000</v>
      </c>
    </row>
    <row r="13" spans="2:19" x14ac:dyDescent="0.35">
      <c r="I13">
        <f>SUM(F3,F5,F8,F9,F11)</f>
        <v>238400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0"/>
  <sheetViews>
    <sheetView topLeftCell="E3" zoomScale="140" zoomScaleNormal="140" workbookViewId="0">
      <selection activeCell="G11" sqref="G11"/>
    </sheetView>
  </sheetViews>
  <sheetFormatPr defaultRowHeight="14.5" x14ac:dyDescent="0.35"/>
  <cols>
    <col min="5" max="5" width="11.36328125" bestFit="1" customWidth="1"/>
    <col min="11" max="11" width="64.54296875" bestFit="1" customWidth="1"/>
  </cols>
  <sheetData>
    <row r="1" spans="1:11" x14ac:dyDescent="0.35">
      <c r="A1" s="24" t="s">
        <v>198</v>
      </c>
      <c r="B1" s="24" t="s">
        <v>199</v>
      </c>
      <c r="C1" s="24" t="s">
        <v>105</v>
      </c>
      <c r="D1" s="24" t="s">
        <v>283</v>
      </c>
      <c r="E1" s="24" t="s">
        <v>70</v>
      </c>
      <c r="F1" s="24" t="s">
        <v>200</v>
      </c>
      <c r="G1" s="24" t="s">
        <v>201</v>
      </c>
      <c r="H1" s="24" t="s">
        <v>11</v>
      </c>
      <c r="I1" s="24" t="s">
        <v>202</v>
      </c>
      <c r="K1" s="24" t="s">
        <v>227</v>
      </c>
    </row>
    <row r="2" spans="1:11" x14ac:dyDescent="0.35">
      <c r="A2" s="2" t="s">
        <v>203</v>
      </c>
      <c r="B2" s="2" t="s">
        <v>17</v>
      </c>
      <c r="C2" s="2" t="s">
        <v>113</v>
      </c>
      <c r="D2" s="2" t="s">
        <v>111</v>
      </c>
      <c r="E2" s="2" t="s">
        <v>204</v>
      </c>
      <c r="F2" s="2">
        <v>1</v>
      </c>
      <c r="G2" s="2">
        <v>50000</v>
      </c>
      <c r="H2" s="2">
        <v>50000</v>
      </c>
      <c r="I2" s="2" t="s">
        <v>205</v>
      </c>
      <c r="K2" t="s">
        <v>228</v>
      </c>
    </row>
    <row r="3" spans="1:11" x14ac:dyDescent="0.35">
      <c r="A3" s="2" t="s">
        <v>206</v>
      </c>
      <c r="B3" s="2" t="s">
        <v>207</v>
      </c>
      <c r="C3" s="2" t="s">
        <v>112</v>
      </c>
      <c r="D3" s="2" t="s">
        <v>109</v>
      </c>
      <c r="E3" s="2" t="s">
        <v>204</v>
      </c>
      <c r="F3" s="2">
        <v>2</v>
      </c>
      <c r="G3" s="2">
        <v>20000</v>
      </c>
      <c r="H3" s="2">
        <v>40000</v>
      </c>
      <c r="I3" s="2" t="s">
        <v>208</v>
      </c>
      <c r="K3" t="s">
        <v>229</v>
      </c>
    </row>
    <row r="4" spans="1:11" x14ac:dyDescent="0.35">
      <c r="A4" s="2" t="s">
        <v>209</v>
      </c>
      <c r="B4" s="2" t="s">
        <v>54</v>
      </c>
      <c r="C4" s="2" t="s">
        <v>108</v>
      </c>
      <c r="D4" s="2" t="s">
        <v>210</v>
      </c>
      <c r="E4" s="2" t="s">
        <v>211</v>
      </c>
      <c r="F4" s="2">
        <v>4</v>
      </c>
      <c r="G4" s="2">
        <v>2500</v>
      </c>
      <c r="H4" s="2">
        <v>10000</v>
      </c>
      <c r="I4" s="2" t="s">
        <v>212</v>
      </c>
      <c r="K4" t="s">
        <v>230</v>
      </c>
    </row>
    <row r="5" spans="1:11" x14ac:dyDescent="0.35">
      <c r="A5" s="2" t="s">
        <v>213</v>
      </c>
      <c r="B5" s="2" t="s">
        <v>14</v>
      </c>
      <c r="C5" s="2" t="s">
        <v>110</v>
      </c>
      <c r="D5" s="2" t="s">
        <v>214</v>
      </c>
      <c r="E5" s="2" t="s">
        <v>211</v>
      </c>
      <c r="F5" s="2">
        <v>1</v>
      </c>
      <c r="G5" s="2">
        <v>7000</v>
      </c>
      <c r="H5" s="2">
        <v>7000</v>
      </c>
      <c r="I5" s="2" t="s">
        <v>205</v>
      </c>
      <c r="K5" t="s">
        <v>231</v>
      </c>
    </row>
    <row r="6" spans="1:11" x14ac:dyDescent="0.35">
      <c r="A6" s="2" t="s">
        <v>215</v>
      </c>
      <c r="B6" s="2" t="s">
        <v>216</v>
      </c>
      <c r="C6" s="2" t="s">
        <v>113</v>
      </c>
      <c r="D6" s="2" t="s">
        <v>217</v>
      </c>
      <c r="E6" s="2" t="s">
        <v>204</v>
      </c>
      <c r="F6" s="2">
        <v>3</v>
      </c>
      <c r="G6" s="2">
        <v>3000</v>
      </c>
      <c r="H6" s="2">
        <v>9000</v>
      </c>
      <c r="I6" s="2" t="s">
        <v>208</v>
      </c>
      <c r="K6" t="s">
        <v>232</v>
      </c>
    </row>
    <row r="7" spans="1:11" x14ac:dyDescent="0.35">
      <c r="A7" s="2" t="s">
        <v>218</v>
      </c>
      <c r="B7" s="2" t="s">
        <v>31</v>
      </c>
      <c r="C7" s="2" t="s">
        <v>112</v>
      </c>
      <c r="D7" s="2" t="s">
        <v>109</v>
      </c>
      <c r="E7" s="2" t="s">
        <v>204</v>
      </c>
      <c r="F7" s="2">
        <v>1</v>
      </c>
      <c r="G7" s="2">
        <v>22000</v>
      </c>
      <c r="H7" s="2">
        <v>22000</v>
      </c>
      <c r="I7" s="2" t="s">
        <v>212</v>
      </c>
      <c r="K7" t="s">
        <v>233</v>
      </c>
    </row>
    <row r="8" spans="1:11" x14ac:dyDescent="0.35">
      <c r="A8" s="2" t="s">
        <v>219</v>
      </c>
      <c r="B8" s="2" t="s">
        <v>220</v>
      </c>
      <c r="C8" s="2" t="s">
        <v>108</v>
      </c>
      <c r="D8" s="2" t="s">
        <v>221</v>
      </c>
      <c r="E8" s="2" t="s">
        <v>211</v>
      </c>
      <c r="F8" s="2">
        <v>1</v>
      </c>
      <c r="G8" s="2">
        <v>35000</v>
      </c>
      <c r="H8" s="2">
        <v>35000</v>
      </c>
      <c r="I8" s="2" t="s">
        <v>205</v>
      </c>
      <c r="K8" t="s">
        <v>234</v>
      </c>
    </row>
    <row r="9" spans="1:11" x14ac:dyDescent="0.35">
      <c r="A9" s="2" t="s">
        <v>222</v>
      </c>
      <c r="B9" s="2" t="s">
        <v>223</v>
      </c>
      <c r="C9" s="2" t="s">
        <v>110</v>
      </c>
      <c r="D9" s="2" t="s">
        <v>111</v>
      </c>
      <c r="E9" s="2" t="s">
        <v>204</v>
      </c>
      <c r="F9" s="2">
        <v>2</v>
      </c>
      <c r="G9" s="2">
        <v>48000</v>
      </c>
      <c r="H9" s="2">
        <v>96000</v>
      </c>
      <c r="I9" s="2" t="s">
        <v>208</v>
      </c>
      <c r="K9" t="s">
        <v>235</v>
      </c>
    </row>
    <row r="10" spans="1:11" x14ac:dyDescent="0.35">
      <c r="A10" s="2" t="s">
        <v>224</v>
      </c>
      <c r="B10" s="2" t="s">
        <v>24</v>
      </c>
      <c r="C10" s="2" t="s">
        <v>113</v>
      </c>
      <c r="D10" s="2" t="s">
        <v>210</v>
      </c>
      <c r="E10" s="2" t="s">
        <v>211</v>
      </c>
      <c r="F10" s="2">
        <v>2</v>
      </c>
      <c r="G10" s="2">
        <v>2600</v>
      </c>
      <c r="H10" s="2">
        <v>5200</v>
      </c>
      <c r="I10" s="2" t="s">
        <v>212</v>
      </c>
    </row>
    <row r="11" spans="1:11" x14ac:dyDescent="0.35">
      <c r="A11" s="2" t="s">
        <v>225</v>
      </c>
      <c r="B11" s="2" t="s">
        <v>226</v>
      </c>
      <c r="C11" s="2" t="s">
        <v>112</v>
      </c>
      <c r="D11" s="2" t="s">
        <v>109</v>
      </c>
      <c r="E11" s="2" t="s">
        <v>204</v>
      </c>
      <c r="F11" s="2">
        <v>3</v>
      </c>
      <c r="G11" s="2">
        <v>21000</v>
      </c>
      <c r="H11" s="2">
        <v>63000</v>
      </c>
      <c r="I11" s="2" t="s">
        <v>205</v>
      </c>
    </row>
    <row r="16" spans="1:11" x14ac:dyDescent="0.35">
      <c r="D16" s="46" t="s">
        <v>198</v>
      </c>
      <c r="E16" s="46" t="s">
        <v>283</v>
      </c>
      <c r="F16" t="s">
        <v>200</v>
      </c>
      <c r="G16" t="s">
        <v>11</v>
      </c>
    </row>
    <row r="17" spans="4:7" x14ac:dyDescent="0.35">
      <c r="D17" t="s">
        <v>203</v>
      </c>
      <c r="E17" t="str">
        <f>VLOOKUP($D17,$A$1:$I$11,MATCH(E$16,$A$1:$I$1,0),FALSE)</f>
        <v>Laptop</v>
      </c>
      <c r="F17">
        <f t="shared" ref="F17:G17" si="0">VLOOKUP($D17,$A$1:$I$11,MATCH(F$16,$A$1:$I$1,0),FALSE)</f>
        <v>1</v>
      </c>
      <c r="G17">
        <f t="shared" si="0"/>
        <v>50000</v>
      </c>
    </row>
    <row r="18" spans="4:7" x14ac:dyDescent="0.35">
      <c r="D18" t="s">
        <v>209</v>
      </c>
      <c r="E18" t="str">
        <f t="shared" ref="E18:G20" si="1">VLOOKUP($D18,$A$1:$I$11,MATCH(E$16,$A$1:$I$1,0),FALSE)</f>
        <v>Chair</v>
      </c>
      <c r="F18">
        <f t="shared" si="1"/>
        <v>4</v>
      </c>
      <c r="G18">
        <f t="shared" si="1"/>
        <v>10000</v>
      </c>
    </row>
    <row r="19" spans="4:7" x14ac:dyDescent="0.35">
      <c r="D19" t="s">
        <v>215</v>
      </c>
      <c r="E19" t="str">
        <f t="shared" si="1"/>
        <v>Headphones</v>
      </c>
      <c r="F19">
        <f t="shared" si="1"/>
        <v>3</v>
      </c>
      <c r="G19">
        <f t="shared" si="1"/>
        <v>9000</v>
      </c>
    </row>
    <row r="20" spans="4:7" x14ac:dyDescent="0.35">
      <c r="D20" t="s">
        <v>219</v>
      </c>
      <c r="E20" t="str">
        <f t="shared" si="1"/>
        <v>Sofa</v>
      </c>
      <c r="F20">
        <f t="shared" si="1"/>
        <v>1</v>
      </c>
      <c r="G20">
        <f t="shared" si="1"/>
        <v>35000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"/>
  <sheetViews>
    <sheetView topLeftCell="H1" zoomScale="149" zoomScaleNormal="100" workbookViewId="0">
      <selection activeCell="K7" sqref="K7:K8"/>
    </sheetView>
  </sheetViews>
  <sheetFormatPr defaultRowHeight="14.5" x14ac:dyDescent="0.35"/>
  <cols>
    <col min="1" max="1" width="6.81640625" bestFit="1" customWidth="1"/>
    <col min="2" max="2" width="12.36328125" bestFit="1" customWidth="1"/>
    <col min="3" max="3" width="12.6328125" bestFit="1" customWidth="1"/>
    <col min="4" max="4" width="10.1796875" bestFit="1" customWidth="1"/>
    <col min="5" max="5" width="16" bestFit="1" customWidth="1"/>
    <col min="6" max="6" width="10.6328125" customWidth="1"/>
    <col min="7" max="7" width="10.36328125" customWidth="1"/>
    <col min="8" max="8" width="12.81640625" customWidth="1"/>
    <col min="10" max="11" width="20.81640625" bestFit="1" customWidth="1"/>
    <col min="12" max="12" width="12.6328125" bestFit="1" customWidth="1"/>
    <col min="20" max="20" width="12.90625" customWidth="1"/>
  </cols>
  <sheetData>
    <row r="1" spans="1:21" x14ac:dyDescent="0.35">
      <c r="A1" s="22" t="s">
        <v>138</v>
      </c>
      <c r="B1" s="8" t="s">
        <v>139</v>
      </c>
      <c r="C1" s="8" t="s">
        <v>2</v>
      </c>
      <c r="D1" s="25" t="s">
        <v>190</v>
      </c>
      <c r="E1" s="8" t="s">
        <v>141</v>
      </c>
      <c r="F1" s="8" t="s">
        <v>69</v>
      </c>
      <c r="G1" s="25" t="s">
        <v>245</v>
      </c>
      <c r="H1" s="25" t="s">
        <v>246</v>
      </c>
      <c r="I1" s="25" t="s">
        <v>248</v>
      </c>
      <c r="P1" t="s">
        <v>236</v>
      </c>
      <c r="Q1" t="s">
        <v>128</v>
      </c>
      <c r="U1" t="s">
        <v>247</v>
      </c>
    </row>
    <row r="2" spans="1:21" x14ac:dyDescent="0.35">
      <c r="A2" s="6" t="s">
        <v>142</v>
      </c>
      <c r="B2" s="6" t="s">
        <v>143</v>
      </c>
      <c r="C2" s="6" t="s">
        <v>11</v>
      </c>
      <c r="D2" s="27">
        <f t="shared" ref="D2:D6" ca="1" si="0">IF(E2="",TODAY(),E2)</f>
        <v>44986</v>
      </c>
      <c r="E2" s="15">
        <v>44986</v>
      </c>
      <c r="F2" s="7" t="s">
        <v>144</v>
      </c>
      <c r="G2" t="s">
        <v>17</v>
      </c>
      <c r="H2" t="s">
        <v>240</v>
      </c>
      <c r="I2">
        <v>35000</v>
      </c>
      <c r="K2" s="14" t="s">
        <v>159</v>
      </c>
      <c r="M2" s="2"/>
      <c r="P2" t="s">
        <v>237</v>
      </c>
      <c r="Q2" t="s">
        <v>128</v>
      </c>
      <c r="U2" t="s">
        <v>25</v>
      </c>
    </row>
    <row r="3" spans="1:21" x14ac:dyDescent="0.35">
      <c r="A3" s="6" t="s">
        <v>145</v>
      </c>
      <c r="B3" s="6" t="s">
        <v>146</v>
      </c>
      <c r="C3" s="6" t="s">
        <v>25</v>
      </c>
      <c r="D3" s="15">
        <f t="shared" ca="1" si="0"/>
        <v>45031</v>
      </c>
      <c r="E3" s="15">
        <v>45031</v>
      </c>
      <c r="F3" s="7" t="s">
        <v>147</v>
      </c>
      <c r="G3" t="s">
        <v>52</v>
      </c>
      <c r="H3" t="s">
        <v>241</v>
      </c>
      <c r="I3">
        <v>42000</v>
      </c>
      <c r="K3" s="14" t="s">
        <v>160</v>
      </c>
      <c r="M3" s="2"/>
      <c r="P3" t="s">
        <v>236</v>
      </c>
      <c r="Q3" t="s">
        <v>184</v>
      </c>
      <c r="U3" t="s">
        <v>11</v>
      </c>
    </row>
    <row r="4" spans="1:21" x14ac:dyDescent="0.35">
      <c r="A4" s="6" t="s">
        <v>149</v>
      </c>
      <c r="B4" s="6" t="s">
        <v>150</v>
      </c>
      <c r="C4" s="6" t="s">
        <v>151</v>
      </c>
      <c r="D4" s="15">
        <f t="shared" ca="1" si="0"/>
        <v>45066</v>
      </c>
      <c r="E4" s="15">
        <v>45066</v>
      </c>
      <c r="F4" s="7" t="s">
        <v>152</v>
      </c>
      <c r="G4" t="s">
        <v>54</v>
      </c>
      <c r="H4" t="s">
        <v>242</v>
      </c>
      <c r="I4">
        <v>41000</v>
      </c>
      <c r="K4" s="14" t="s">
        <v>161</v>
      </c>
      <c r="M4" s="2"/>
      <c r="P4" t="s">
        <v>238</v>
      </c>
      <c r="Q4" t="s">
        <v>184</v>
      </c>
      <c r="U4" t="s">
        <v>151</v>
      </c>
    </row>
    <row r="5" spans="1:21" x14ac:dyDescent="0.35">
      <c r="A5" s="6" t="s">
        <v>153</v>
      </c>
      <c r="B5" s="6" t="s">
        <v>154</v>
      </c>
      <c r="C5" s="6" t="s">
        <v>25</v>
      </c>
      <c r="D5" s="15">
        <f t="shared" ca="1" si="0"/>
        <v>46237</v>
      </c>
      <c r="E5" s="6"/>
      <c r="F5" s="7" t="s">
        <v>155</v>
      </c>
      <c r="G5" t="s">
        <v>14</v>
      </c>
      <c r="H5" t="s">
        <v>243</v>
      </c>
      <c r="I5">
        <v>48000</v>
      </c>
      <c r="K5" s="14" t="s">
        <v>162</v>
      </c>
      <c r="P5" t="s">
        <v>239</v>
      </c>
      <c r="Q5" t="s">
        <v>184</v>
      </c>
    </row>
    <row r="6" spans="1:21" x14ac:dyDescent="0.35">
      <c r="A6" s="6" t="s">
        <v>156</v>
      </c>
      <c r="B6" s="6" t="s">
        <v>157</v>
      </c>
      <c r="C6" s="6" t="s">
        <v>11</v>
      </c>
      <c r="D6" s="28">
        <f t="shared" ca="1" si="0"/>
        <v>45087</v>
      </c>
      <c r="E6" s="15">
        <v>45087</v>
      </c>
      <c r="F6" s="7" t="s">
        <v>158</v>
      </c>
      <c r="G6" t="s">
        <v>34</v>
      </c>
      <c r="H6" t="s">
        <v>244</v>
      </c>
      <c r="I6">
        <v>39000</v>
      </c>
      <c r="K6" s="14" t="s">
        <v>163</v>
      </c>
    </row>
    <row r="7" spans="1:21" x14ac:dyDescent="0.35">
      <c r="C7" s="26" t="s">
        <v>11</v>
      </c>
      <c r="K7" s="14" t="s">
        <v>164</v>
      </c>
    </row>
    <row r="8" spans="1:21" x14ac:dyDescent="0.35">
      <c r="K8" s="14" t="s">
        <v>165</v>
      </c>
    </row>
  </sheetData>
  <dataValidations count="2">
    <dataValidation type="list" allowBlank="1" showInputMessage="1" showErrorMessage="1" sqref="M2" xr:uid="{00000000-0002-0000-0700-000000000000}">
      <formula1>$C:$C</formula1>
    </dataValidation>
    <dataValidation type="list" allowBlank="1" showInputMessage="1" showErrorMessage="1" sqref="C2:C12" xr:uid="{00000000-0002-0000-0700-000001000000}">
      <formula1>$U$2:$U$4</formula1>
    </dataValidation>
  </dataValidations>
  <hyperlinks>
    <hyperlink ref="F2" r:id="rId1" display="mailto:rahul@gmail.com" xr:uid="{00000000-0004-0000-0700-000000000000}"/>
    <hyperlink ref="F3" r:id="rId2" display="mailto:aisha@gmail.com" xr:uid="{00000000-0004-0000-0700-000001000000}"/>
    <hyperlink ref="F4" r:id="rId3" display="mailto:aman@gmail.com" xr:uid="{00000000-0004-0000-0700-000002000000}"/>
    <hyperlink ref="F5" r:id="rId4" display="mailto:neha@gmail.com" xr:uid="{00000000-0004-0000-0700-000003000000}"/>
    <hyperlink ref="F6" r:id="rId5" display="mailto:rohit@gmail.com" xr:uid="{00000000-0004-0000-0700-000004000000}"/>
  </hyperlinks>
  <pageMargins left="0.7" right="0.7" top="0.75" bottom="0.75" header="0.3" footer="0.3"/>
  <pageSetup orientation="portrait" horizontalDpi="360" verticalDpi="360" r:id="rId6"/>
  <tableParts count="1"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I10"/>
  <sheetViews>
    <sheetView zoomScale="154" workbookViewId="0">
      <selection activeCell="G3" sqref="G3"/>
    </sheetView>
  </sheetViews>
  <sheetFormatPr defaultColWidth="13.1796875" defaultRowHeight="14.5" x14ac:dyDescent="0.35"/>
  <cols>
    <col min="1" max="1" width="6.81640625" bestFit="1" customWidth="1"/>
    <col min="2" max="2" width="5.81640625" bestFit="1" customWidth="1"/>
    <col min="3" max="3" width="11.08984375" bestFit="1" customWidth="1"/>
    <col min="4" max="4" width="5.90625" bestFit="1" customWidth="1"/>
    <col min="6" max="6" width="18.6328125" bestFit="1" customWidth="1"/>
    <col min="9" max="9" width="14.453125" bestFit="1" customWidth="1"/>
    <col min="12" max="12" width="15.36328125" customWidth="1"/>
  </cols>
  <sheetData>
    <row r="1" spans="1:61" x14ac:dyDescent="0.35">
      <c r="A1" s="30" t="s">
        <v>138</v>
      </c>
      <c r="B1" s="30" t="s">
        <v>139</v>
      </c>
      <c r="C1" s="30" t="s">
        <v>2</v>
      </c>
      <c r="D1" s="30" t="s">
        <v>140</v>
      </c>
      <c r="P1" s="47" t="s">
        <v>162</v>
      </c>
      <c r="Q1" s="47"/>
      <c r="R1" s="47"/>
      <c r="S1" s="47"/>
      <c r="T1" s="47"/>
      <c r="BI1" t="s">
        <v>2</v>
      </c>
    </row>
    <row r="2" spans="1:61" x14ac:dyDescent="0.35">
      <c r="A2" s="29" t="s">
        <v>142</v>
      </c>
      <c r="B2" s="29" t="s">
        <v>17</v>
      </c>
      <c r="C2" s="29" t="s">
        <v>11</v>
      </c>
      <c r="D2" s="29">
        <v>35000</v>
      </c>
      <c r="F2" s="31" t="s">
        <v>249</v>
      </c>
      <c r="G2" t="str">
        <f>INDEX(A1:D6,3,2)</f>
        <v>Aisha</v>
      </c>
      <c r="P2" s="44" t="s">
        <v>261</v>
      </c>
      <c r="Q2" s="44" t="s">
        <v>262</v>
      </c>
      <c r="R2" s="44" t="s">
        <v>268</v>
      </c>
      <c r="S2" s="44" t="s">
        <v>269</v>
      </c>
      <c r="T2" s="43"/>
      <c r="BI2" t="s">
        <v>263</v>
      </c>
    </row>
    <row r="3" spans="1:61" x14ac:dyDescent="0.35">
      <c r="A3" s="29" t="s">
        <v>145</v>
      </c>
      <c r="B3" s="29" t="s">
        <v>52</v>
      </c>
      <c r="C3" s="29" t="s">
        <v>25</v>
      </c>
      <c r="D3" s="29">
        <v>42000</v>
      </c>
      <c r="F3" s="31" t="s">
        <v>250</v>
      </c>
      <c r="G3">
        <f>MATCH("Rahul",B1:B6,0)</f>
        <v>2</v>
      </c>
      <c r="P3" s="3">
        <v>12</v>
      </c>
      <c r="Q3" s="3">
        <v>1.5</v>
      </c>
      <c r="R3" s="3" t="s">
        <v>265</v>
      </c>
      <c r="S3" s="3" t="s">
        <v>267</v>
      </c>
      <c r="T3" s="3"/>
      <c r="BI3" t="s">
        <v>264</v>
      </c>
    </row>
    <row r="4" spans="1:61" ht="14" customHeight="1" x14ac:dyDescent="0.35">
      <c r="A4" s="29" t="s">
        <v>148</v>
      </c>
      <c r="B4" s="29" t="s">
        <v>54</v>
      </c>
      <c r="C4" s="29" t="s">
        <v>151</v>
      </c>
      <c r="D4" s="29">
        <v>50000</v>
      </c>
      <c r="F4" s="31" t="s">
        <v>251</v>
      </c>
      <c r="P4" s="3">
        <v>13</v>
      </c>
      <c r="Q4" s="3">
        <v>1.555555</v>
      </c>
      <c r="R4" s="3" t="s">
        <v>264</v>
      </c>
      <c r="S4" s="3"/>
      <c r="T4" s="3"/>
      <c r="BI4" t="s">
        <v>265</v>
      </c>
    </row>
    <row r="5" spans="1:61" x14ac:dyDescent="0.35">
      <c r="A5" s="29" t="s">
        <v>149</v>
      </c>
      <c r="B5" s="29" t="s">
        <v>14</v>
      </c>
      <c r="C5" s="29" t="s">
        <v>32</v>
      </c>
      <c r="D5" s="29">
        <v>48000</v>
      </c>
      <c r="P5" s="3">
        <v>14</v>
      </c>
      <c r="Q5" s="3"/>
      <c r="R5" s="3" t="s">
        <v>263</v>
      </c>
      <c r="S5" s="3"/>
      <c r="T5" s="3"/>
    </row>
    <row r="6" spans="1:61" x14ac:dyDescent="0.35">
      <c r="A6" s="29" t="s">
        <v>153</v>
      </c>
      <c r="B6" s="29" t="s">
        <v>34</v>
      </c>
      <c r="C6" s="29" t="s">
        <v>11</v>
      </c>
      <c r="D6" s="29">
        <v>39000</v>
      </c>
      <c r="P6" s="3">
        <v>15</v>
      </c>
      <c r="Q6" s="3"/>
      <c r="R6" s="3" t="s">
        <v>266</v>
      </c>
      <c r="S6" s="3"/>
      <c r="T6" s="3"/>
    </row>
    <row r="7" spans="1:61" x14ac:dyDescent="0.35">
      <c r="P7" s="3"/>
      <c r="Q7" s="3"/>
      <c r="R7" s="3"/>
      <c r="S7" s="3"/>
      <c r="T7" s="3"/>
    </row>
    <row r="8" spans="1:61" x14ac:dyDescent="0.35">
      <c r="P8" s="3"/>
      <c r="Q8" s="3"/>
      <c r="R8" s="3"/>
      <c r="S8" s="3"/>
      <c r="T8" s="3"/>
    </row>
    <row r="9" spans="1:61" x14ac:dyDescent="0.35">
      <c r="P9" s="3">
        <v>18</v>
      </c>
      <c r="Q9" s="3"/>
      <c r="R9" s="3"/>
      <c r="S9" s="3"/>
      <c r="T9" s="3"/>
    </row>
    <row r="10" spans="1:61" x14ac:dyDescent="0.35">
      <c r="P10" s="3">
        <v>19</v>
      </c>
      <c r="Q10" s="3"/>
      <c r="R10" s="3"/>
      <c r="S10" s="3"/>
      <c r="T10" s="3"/>
    </row>
  </sheetData>
  <mergeCells count="1">
    <mergeCell ref="P1:T1"/>
  </mergeCells>
  <dataValidations count="5">
    <dataValidation type="whole" allowBlank="1" showInputMessage="1" showErrorMessage="1" promptTitle="Validate" prompt="insert number from 10 to 15" sqref="P3:P10" xr:uid="{00000000-0002-0000-0800-000000000000}">
      <formula1>10</formula1>
      <formula2>15</formula2>
    </dataValidation>
    <dataValidation type="decimal" allowBlank="1" showInputMessage="1" showErrorMessage="1" sqref="Q3:Q10" xr:uid="{00000000-0002-0000-0800-000001000000}">
      <formula1>1.5</formula1>
      <formula2>2</formula2>
    </dataValidation>
    <dataValidation type="list" allowBlank="1" showInputMessage="1" showErrorMessage="1" sqref="R3:R10" xr:uid="{00000000-0002-0000-0800-000002000000}">
      <formula1>$BI$2:$BI$4</formula1>
    </dataValidation>
    <dataValidation type="textLength" allowBlank="1" showInputMessage="1" showErrorMessage="1" sqref="S4:S10" xr:uid="{00000000-0002-0000-0800-000003000000}">
      <formula1>12</formula1>
      <formula2>12</formula2>
    </dataValidation>
    <dataValidation type="textLength" allowBlank="1" showInputMessage="1" showErrorMessage="1" sqref="S3" xr:uid="{00000000-0002-0000-0800-000004000000}">
      <formula1>5</formula1>
      <formula2>10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4"/>
  <sheetViews>
    <sheetView zoomScale="165" workbookViewId="0">
      <selection activeCell="H4" sqref="H4"/>
    </sheetView>
  </sheetViews>
  <sheetFormatPr defaultRowHeight="14.5" x14ac:dyDescent="0.35"/>
  <cols>
    <col min="1" max="1" width="6.81640625" bestFit="1" customWidth="1"/>
    <col min="2" max="2" width="5.90625" bestFit="1" customWidth="1"/>
    <col min="3" max="3" width="10.90625" bestFit="1" customWidth="1"/>
    <col min="4" max="4" width="5.90625" bestFit="1" customWidth="1"/>
  </cols>
  <sheetData>
    <row r="1" spans="1:12" x14ac:dyDescent="0.35">
      <c r="A1" s="30" t="s">
        <v>138</v>
      </c>
      <c r="B1" s="30" t="s">
        <v>139</v>
      </c>
      <c r="C1" s="30" t="s">
        <v>2</v>
      </c>
      <c r="D1" s="30" t="s">
        <v>140</v>
      </c>
    </row>
    <row r="2" spans="1:12" x14ac:dyDescent="0.35">
      <c r="A2" s="32" t="s">
        <v>145</v>
      </c>
      <c r="B2" s="32" t="s">
        <v>52</v>
      </c>
      <c r="C2" s="32" t="s">
        <v>25</v>
      </c>
      <c r="D2" s="32">
        <v>42000</v>
      </c>
      <c r="G2" s="10" t="s">
        <v>252</v>
      </c>
    </row>
    <row r="3" spans="1:12" x14ac:dyDescent="0.35">
      <c r="A3" s="32" t="s">
        <v>148</v>
      </c>
      <c r="B3" s="32" t="s">
        <v>54</v>
      </c>
      <c r="C3" s="32" t="s">
        <v>151</v>
      </c>
      <c r="D3" s="32">
        <v>50000</v>
      </c>
      <c r="G3" s="10" t="s">
        <v>253</v>
      </c>
      <c r="H3">
        <f>VLOOKUP("Aman",B1:D6,3,FALSE)</f>
        <v>50000</v>
      </c>
      <c r="I3" t="str">
        <f>VLOOKUP("E103",A1:D6,3,FALSE)</f>
        <v>IT</v>
      </c>
    </row>
    <row r="4" spans="1:12" x14ac:dyDescent="0.35">
      <c r="A4" s="32" t="s">
        <v>149</v>
      </c>
      <c r="B4" s="32" t="s">
        <v>14</v>
      </c>
      <c r="C4" s="32" t="s">
        <v>32</v>
      </c>
      <c r="D4" s="32">
        <v>48000</v>
      </c>
    </row>
    <row r="5" spans="1:12" x14ac:dyDescent="0.35">
      <c r="A5" s="32" t="s">
        <v>142</v>
      </c>
      <c r="B5" s="32" t="s">
        <v>17</v>
      </c>
      <c r="C5" s="32" t="s">
        <v>11</v>
      </c>
      <c r="D5" s="32">
        <v>35000</v>
      </c>
    </row>
    <row r="6" spans="1:12" x14ac:dyDescent="0.35">
      <c r="A6" s="32" t="s">
        <v>153</v>
      </c>
      <c r="B6" s="32" t="s">
        <v>34</v>
      </c>
      <c r="C6" s="32" t="s">
        <v>11</v>
      </c>
      <c r="D6" s="32">
        <v>39000</v>
      </c>
    </row>
    <row r="10" spans="1:12" x14ac:dyDescent="0.35">
      <c r="G10" s="10" t="s">
        <v>254</v>
      </c>
    </row>
    <row r="12" spans="1:12" x14ac:dyDescent="0.35">
      <c r="H12" s="30" t="s">
        <v>138</v>
      </c>
      <c r="I12" s="32" t="s">
        <v>142</v>
      </c>
      <c r="J12" s="32" t="s">
        <v>145</v>
      </c>
      <c r="K12" s="32" t="s">
        <v>148</v>
      </c>
      <c r="L12" s="32" t="s">
        <v>149</v>
      </c>
    </row>
    <row r="13" spans="1:12" x14ac:dyDescent="0.35">
      <c r="H13" s="30" t="s">
        <v>139</v>
      </c>
      <c r="I13" s="32" t="s">
        <v>17</v>
      </c>
      <c r="J13" s="32" t="s">
        <v>52</v>
      </c>
      <c r="K13" s="32" t="s">
        <v>54</v>
      </c>
      <c r="L13" s="32" t="s">
        <v>14</v>
      </c>
    </row>
    <row r="14" spans="1:12" x14ac:dyDescent="0.35">
      <c r="H14" s="30" t="s">
        <v>140</v>
      </c>
      <c r="I14" s="32">
        <v>35000</v>
      </c>
      <c r="J14" s="32">
        <v>42000</v>
      </c>
      <c r="K14" s="32">
        <v>50000</v>
      </c>
      <c r="L14" s="32">
        <v>48000</v>
      </c>
    </row>
  </sheetData>
  <sortState xmlns:xlrd2="http://schemas.microsoft.com/office/spreadsheetml/2017/richdata2" ref="A2:D14">
    <sortCondition ref="B1"/>
  </sortState>
  <pageMargins left="0.7" right="0.7" top="0.75" bottom="0.75" header="0.3" footer="0.3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8"/>
  <sheetViews>
    <sheetView zoomScale="144" workbookViewId="0">
      <selection activeCell="C10" sqref="C10"/>
    </sheetView>
  </sheetViews>
  <sheetFormatPr defaultRowHeight="14.5" x14ac:dyDescent="0.35"/>
  <cols>
    <col min="1" max="1" width="11.26953125" bestFit="1" customWidth="1"/>
    <col min="2" max="2" width="14.453125" bestFit="1" customWidth="1"/>
    <col min="3" max="3" width="10.90625" bestFit="1" customWidth="1"/>
    <col min="4" max="4" width="13" style="39" bestFit="1" customWidth="1"/>
    <col min="5" max="5" width="14.453125" style="40" bestFit="1" customWidth="1"/>
    <col min="6" max="6" width="13.54296875" bestFit="1" customWidth="1"/>
    <col min="7" max="7" width="12.26953125" style="33" bestFit="1" customWidth="1"/>
    <col min="8" max="8" width="14.6328125" bestFit="1" customWidth="1"/>
    <col min="9" max="9" width="8.1796875" bestFit="1" customWidth="1"/>
    <col min="10" max="10" width="10.90625" bestFit="1" customWidth="1"/>
    <col min="13" max="13" width="13.54296875" bestFit="1" customWidth="1"/>
  </cols>
  <sheetData>
    <row r="1" spans="1:13" x14ac:dyDescent="0.35">
      <c r="A1" s="36" t="s">
        <v>0</v>
      </c>
      <c r="B1" s="35" t="s">
        <v>1</v>
      </c>
      <c r="C1" s="35" t="s">
        <v>2</v>
      </c>
      <c r="D1" s="37" t="s">
        <v>3</v>
      </c>
      <c r="E1" s="37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M1" s="42" t="s">
        <v>255</v>
      </c>
    </row>
    <row r="2" spans="1:13" x14ac:dyDescent="0.35">
      <c r="A2" s="13">
        <v>101</v>
      </c>
      <c r="B2" s="13" t="s">
        <v>10</v>
      </c>
      <c r="C2" s="13" t="s">
        <v>11</v>
      </c>
      <c r="D2" s="38">
        <v>85000</v>
      </c>
      <c r="E2" s="38">
        <v>100000</v>
      </c>
      <c r="F2" s="13">
        <v>85</v>
      </c>
      <c r="G2" s="13">
        <v>98</v>
      </c>
      <c r="H2" s="13">
        <v>4.2</v>
      </c>
      <c r="I2" s="13" t="s">
        <v>12</v>
      </c>
      <c r="J2" s="41" t="s">
        <v>13</v>
      </c>
      <c r="M2" t="s">
        <v>256</v>
      </c>
    </row>
    <row r="3" spans="1:13" x14ac:dyDescent="0.35">
      <c r="A3" s="13">
        <v>102</v>
      </c>
      <c r="B3" s="13" t="s">
        <v>14</v>
      </c>
      <c r="C3" s="13" t="s">
        <v>11</v>
      </c>
      <c r="D3" s="38">
        <v>120000</v>
      </c>
      <c r="E3" s="38">
        <v>100000</v>
      </c>
      <c r="F3" s="13">
        <v>120</v>
      </c>
      <c r="G3" s="13">
        <v>98</v>
      </c>
      <c r="H3" s="13">
        <v>4.8</v>
      </c>
      <c r="I3" s="13" t="s">
        <v>15</v>
      </c>
      <c r="J3" s="41" t="s">
        <v>16</v>
      </c>
      <c r="M3" t="s">
        <v>257</v>
      </c>
    </row>
    <row r="4" spans="1:13" x14ac:dyDescent="0.35">
      <c r="A4" s="13">
        <v>103</v>
      </c>
      <c r="B4" s="13" t="s">
        <v>17</v>
      </c>
      <c r="C4" s="13" t="s">
        <v>18</v>
      </c>
      <c r="D4" s="38">
        <v>60000</v>
      </c>
      <c r="E4" s="38">
        <v>90000</v>
      </c>
      <c r="F4" s="13">
        <v>67</v>
      </c>
      <c r="G4" s="13">
        <v>75</v>
      </c>
      <c r="H4" s="13">
        <v>3.5</v>
      </c>
      <c r="I4" s="13" t="s">
        <v>19</v>
      </c>
      <c r="J4" s="41" t="s">
        <v>20</v>
      </c>
      <c r="M4" t="s">
        <v>258</v>
      </c>
    </row>
    <row r="5" spans="1:13" x14ac:dyDescent="0.35">
      <c r="A5" s="13">
        <v>104</v>
      </c>
      <c r="B5" s="13" t="s">
        <v>21</v>
      </c>
      <c r="C5" s="13" t="s">
        <v>18</v>
      </c>
      <c r="D5" s="38">
        <v>95000</v>
      </c>
      <c r="E5" s="38">
        <v>90000</v>
      </c>
      <c r="F5" s="13">
        <v>34</v>
      </c>
      <c r="G5" s="13">
        <v>88</v>
      </c>
      <c r="H5" s="13">
        <v>4.0999999999999996</v>
      </c>
      <c r="I5" s="13" t="s">
        <v>22</v>
      </c>
      <c r="J5" s="41" t="s">
        <v>23</v>
      </c>
      <c r="M5" t="s">
        <v>259</v>
      </c>
    </row>
    <row r="6" spans="1:13" x14ac:dyDescent="0.35">
      <c r="A6" s="13">
        <v>105</v>
      </c>
      <c r="B6" s="13" t="s">
        <v>24</v>
      </c>
      <c r="C6" s="13" t="s">
        <v>25</v>
      </c>
      <c r="D6" s="38">
        <v>40000</v>
      </c>
      <c r="E6" s="38">
        <v>50000</v>
      </c>
      <c r="F6" s="13">
        <v>103</v>
      </c>
      <c r="G6" s="13">
        <v>90</v>
      </c>
      <c r="H6" s="13">
        <v>3.9</v>
      </c>
      <c r="I6" s="13" t="s">
        <v>12</v>
      </c>
      <c r="J6" s="41" t="s">
        <v>26</v>
      </c>
      <c r="M6" t="s">
        <v>260</v>
      </c>
    </row>
    <row r="7" spans="1:13" x14ac:dyDescent="0.35">
      <c r="A7" s="13">
        <v>106</v>
      </c>
      <c r="B7" s="13" t="s">
        <v>27</v>
      </c>
      <c r="C7" s="13" t="s">
        <v>25</v>
      </c>
      <c r="D7" s="38">
        <v>52000</v>
      </c>
      <c r="E7" s="38">
        <v>50000</v>
      </c>
      <c r="F7" s="13">
        <v>104</v>
      </c>
      <c r="G7" s="13">
        <v>99</v>
      </c>
      <c r="H7" s="13">
        <v>4.5999999999999996</v>
      </c>
      <c r="I7" s="13" t="s">
        <v>15</v>
      </c>
      <c r="J7" s="41" t="s">
        <v>28</v>
      </c>
    </row>
    <row r="8" spans="1:13" x14ac:dyDescent="0.35">
      <c r="A8" s="13">
        <v>107</v>
      </c>
      <c r="B8" s="13" t="s">
        <v>29</v>
      </c>
      <c r="C8" s="13" t="s">
        <v>11</v>
      </c>
      <c r="D8" s="38">
        <v>30000</v>
      </c>
      <c r="E8" s="38">
        <v>100000</v>
      </c>
      <c r="F8" s="13" t="s">
        <v>45</v>
      </c>
      <c r="G8" s="13">
        <v>60</v>
      </c>
      <c r="H8" s="13">
        <v>2.8</v>
      </c>
      <c r="I8" s="13" t="s">
        <v>19</v>
      </c>
      <c r="J8" s="41" t="s">
        <v>30</v>
      </c>
    </row>
    <row r="9" spans="1:13" x14ac:dyDescent="0.35">
      <c r="A9" s="13">
        <v>108</v>
      </c>
      <c r="B9" s="13" t="s">
        <v>31</v>
      </c>
      <c r="C9" s="13" t="s">
        <v>32</v>
      </c>
      <c r="D9" s="38">
        <v>70000</v>
      </c>
      <c r="E9" s="38">
        <v>80000</v>
      </c>
      <c r="F9" s="13">
        <v>88</v>
      </c>
      <c r="G9" s="13">
        <v>85</v>
      </c>
      <c r="H9" s="13">
        <v>4</v>
      </c>
      <c r="I9" s="13" t="s">
        <v>22</v>
      </c>
      <c r="J9" s="41" t="s">
        <v>33</v>
      </c>
    </row>
    <row r="10" spans="1:13" x14ac:dyDescent="0.35">
      <c r="A10" s="13">
        <v>109</v>
      </c>
      <c r="B10" s="13" t="s">
        <v>34</v>
      </c>
      <c r="C10" s="13" t="s">
        <v>32</v>
      </c>
      <c r="D10" s="38">
        <v>82000</v>
      </c>
      <c r="E10" s="38">
        <v>80000</v>
      </c>
      <c r="F10" s="13">
        <v>103</v>
      </c>
      <c r="G10" s="34">
        <v>95</v>
      </c>
      <c r="H10" s="13">
        <v>4.7</v>
      </c>
      <c r="I10" s="13" t="s">
        <v>15</v>
      </c>
      <c r="J10" s="41" t="s">
        <v>35</v>
      </c>
    </row>
    <row r="11" spans="1:13" x14ac:dyDescent="0.35">
      <c r="A11" s="13">
        <v>110</v>
      </c>
      <c r="B11" s="13" t="s">
        <v>36</v>
      </c>
      <c r="C11" s="13" t="s">
        <v>11</v>
      </c>
      <c r="D11" s="38">
        <v>50000</v>
      </c>
      <c r="E11" s="38">
        <v>100000</v>
      </c>
      <c r="F11" s="13">
        <v>50</v>
      </c>
      <c r="G11" s="34">
        <v>99</v>
      </c>
      <c r="H11" s="13">
        <v>3</v>
      </c>
      <c r="I11" s="13" t="s">
        <v>19</v>
      </c>
      <c r="J11" s="41" t="s">
        <v>37</v>
      </c>
    </row>
    <row r="12" spans="1:13" x14ac:dyDescent="0.35">
      <c r="I12">
        <f>COUNT(I2:I11)</f>
        <v>0</v>
      </c>
    </row>
    <row r="13" spans="1:13" x14ac:dyDescent="0.35">
      <c r="E13" s="40" t="s">
        <v>255</v>
      </c>
    </row>
    <row r="14" spans="1:13" x14ac:dyDescent="0.35">
      <c r="E14" s="40" t="s">
        <v>256</v>
      </c>
      <c r="F14">
        <f>SUM(F2:F11)</f>
        <v>754</v>
      </c>
    </row>
    <row r="15" spans="1:13" x14ac:dyDescent="0.35">
      <c r="E15" s="40" t="s">
        <v>257</v>
      </c>
      <c r="F15">
        <f>AVERAGE(F2:F11)</f>
        <v>83.777777777777771</v>
      </c>
    </row>
    <row r="16" spans="1:13" x14ac:dyDescent="0.35">
      <c r="E16" s="40" t="s">
        <v>258</v>
      </c>
      <c r="F16">
        <f>MIN(F2:F11)</f>
        <v>34</v>
      </c>
    </row>
    <row r="17" spans="5:6" x14ac:dyDescent="0.35">
      <c r="E17" s="40" t="s">
        <v>259</v>
      </c>
      <c r="F17">
        <f>MAX(F2:F11)</f>
        <v>120</v>
      </c>
    </row>
    <row r="18" spans="5:6" x14ac:dyDescent="0.35">
      <c r="E18" s="40" t="s">
        <v>260</v>
      </c>
      <c r="F18">
        <f>COUNT(F2:F11)</f>
        <v>9</v>
      </c>
    </row>
  </sheetData>
  <pageMargins left="0.7" right="0.7" top="0.75" bottom="0.75" header="0.3" footer="0.3"/>
  <pageSetup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C04C5-190A-4E8C-90FC-9067482A6E4C}">
  <dimension ref="A1:E11"/>
  <sheetViews>
    <sheetView zoomScale="218" workbookViewId="0">
      <selection activeCell="E8" sqref="E8"/>
    </sheetView>
  </sheetViews>
  <sheetFormatPr defaultRowHeight="14.5" x14ac:dyDescent="0.35"/>
  <sheetData>
    <row r="1" spans="1:5" x14ac:dyDescent="0.35">
      <c r="A1" t="s">
        <v>196</v>
      </c>
      <c r="B1" t="s">
        <v>197</v>
      </c>
      <c r="E1" t="s">
        <v>291</v>
      </c>
    </row>
    <row r="2" spans="1:5" x14ac:dyDescent="0.35">
      <c r="A2" t="s">
        <v>193</v>
      </c>
      <c r="B2">
        <v>197</v>
      </c>
      <c r="C2">
        <f>IF(B2="Null",$B$11,B2)</f>
        <v>197</v>
      </c>
      <c r="E2" t="s">
        <v>292</v>
      </c>
    </row>
    <row r="3" spans="1:5" x14ac:dyDescent="0.35">
      <c r="A3" t="s">
        <v>194</v>
      </c>
      <c r="B3">
        <v>144</v>
      </c>
      <c r="C3">
        <f>IF(B3="Null",$B$11,B3)</f>
        <v>144</v>
      </c>
      <c r="E3" t="s">
        <v>293</v>
      </c>
    </row>
    <row r="4" spans="1:5" x14ac:dyDescent="0.35">
      <c r="A4" t="s">
        <v>195</v>
      </c>
      <c r="B4">
        <v>139</v>
      </c>
      <c r="C4">
        <f>IF(B4="Null",$B$11,B4)</f>
        <v>139</v>
      </c>
      <c r="E4" t="s">
        <v>294</v>
      </c>
    </row>
    <row r="5" spans="1:5" x14ac:dyDescent="0.35">
      <c r="A5" t="s">
        <v>284</v>
      </c>
      <c r="B5" t="s">
        <v>290</v>
      </c>
      <c r="C5">
        <f>IF(B5="Null",$B$11,B5)</f>
        <v>161</v>
      </c>
      <c r="E5" t="s">
        <v>295</v>
      </c>
    </row>
    <row r="6" spans="1:5" x14ac:dyDescent="0.35">
      <c r="A6" t="s">
        <v>285</v>
      </c>
      <c r="B6">
        <v>160</v>
      </c>
      <c r="C6">
        <f t="shared" ref="C6:C11" si="0">IF(B6="Null",$B$11,B6)</f>
        <v>160</v>
      </c>
      <c r="E6" t="s">
        <v>292</v>
      </c>
    </row>
    <row r="7" spans="1:5" x14ac:dyDescent="0.35">
      <c r="A7" t="s">
        <v>286</v>
      </c>
      <c r="B7">
        <v>144</v>
      </c>
      <c r="C7">
        <f t="shared" si="0"/>
        <v>144</v>
      </c>
      <c r="E7" t="s">
        <v>292</v>
      </c>
    </row>
    <row r="8" spans="1:5" x14ac:dyDescent="0.35">
      <c r="A8" t="s">
        <v>287</v>
      </c>
      <c r="B8" t="s">
        <v>290</v>
      </c>
      <c r="C8">
        <f t="shared" si="0"/>
        <v>161</v>
      </c>
      <c r="E8" t="s">
        <v>295</v>
      </c>
    </row>
    <row r="9" spans="1:5" x14ac:dyDescent="0.35">
      <c r="A9" t="s">
        <v>288</v>
      </c>
      <c r="B9">
        <v>182</v>
      </c>
      <c r="C9">
        <f t="shared" si="0"/>
        <v>182</v>
      </c>
    </row>
    <row r="10" spans="1:5" x14ac:dyDescent="0.35">
      <c r="A10" t="s">
        <v>289</v>
      </c>
      <c r="B10" t="s">
        <v>290</v>
      </c>
      <c r="C10">
        <f t="shared" si="0"/>
        <v>161</v>
      </c>
    </row>
    <row r="11" spans="1:5" x14ac:dyDescent="0.35">
      <c r="B11">
        <f>AVERAGE(B2:B10)</f>
        <v>161</v>
      </c>
      <c r="C11">
        <f t="shared" si="0"/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5</vt:i4>
      </vt:variant>
    </vt:vector>
  </HeadingPairs>
  <TitlesOfParts>
    <vt:vector size="17" baseType="lpstr">
      <vt:lpstr>Conditional_Formatting_Practice</vt:lpstr>
      <vt:lpstr>Logical function</vt:lpstr>
      <vt:lpstr>Error Function</vt:lpstr>
      <vt:lpstr>Text Func</vt:lpstr>
      <vt:lpstr>Date Func</vt:lpstr>
      <vt:lpstr>Advance Sum, count</vt:lpstr>
      <vt:lpstr>Practice</vt:lpstr>
      <vt:lpstr>Data Cleaning</vt:lpstr>
      <vt:lpstr>Index and match</vt:lpstr>
      <vt:lpstr>Lookups</vt:lpstr>
      <vt:lpstr>Lec 2</vt:lpstr>
      <vt:lpstr>Sheet1</vt:lpstr>
      <vt:lpstr>Date</vt:lpstr>
      <vt:lpstr>Product</vt:lpstr>
      <vt:lpstr>Region</vt:lpstr>
      <vt:lpstr>Sales_Amount</vt:lpstr>
      <vt:lpstr>Salesperson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Shivam Nayak</cp:lastModifiedBy>
  <dcterms:created xsi:type="dcterms:W3CDTF">2025-12-17T09:42:19Z</dcterms:created>
  <dcterms:modified xsi:type="dcterms:W3CDTF">2026-08-03T15:21:13Z</dcterms:modified>
</cp:coreProperties>
</file>