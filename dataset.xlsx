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19fb36a3f97524f/"/>
    </mc:Choice>
  </mc:AlternateContent>
  <xr:revisionPtr revIDLastSave="0" documentId="8_{5A783F98-E7B9-48F0-B880-BE381BE614FD}" xr6:coauthVersionLast="47" xr6:coauthVersionMax="47" xr10:uidLastSave="{00000000-0000-0000-0000-000000000000}"/>
  <bookViews>
    <workbookView xWindow="-110" yWindow="-110" windowWidth="19420" windowHeight="10300" xr2:uid="{2516AB57-94B7-483D-B023-2E9B288415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1" l="1"/>
  <c r="C23" i="1"/>
  <c r="C22" i="1"/>
  <c r="C21" i="1"/>
  <c r="C20" i="1"/>
  <c r="C19" i="1"/>
  <c r="C18" i="1"/>
  <c r="C17" i="1"/>
  <c r="C16" i="1"/>
  <c r="C15" i="1"/>
  <c r="C14" i="1"/>
  <c r="D14" i="1" s="1"/>
  <c r="C13" i="1"/>
  <c r="D13" i="1"/>
  <c r="E13" i="1"/>
  <c r="J5" i="1"/>
  <c r="K5" i="1"/>
  <c r="L5" i="1"/>
  <c r="M5" i="1"/>
  <c r="N5" i="1"/>
  <c r="J6" i="1"/>
  <c r="K6" i="1"/>
  <c r="L6" i="1"/>
  <c r="M6" i="1"/>
  <c r="N6" i="1"/>
  <c r="J7" i="1"/>
  <c r="K7" i="1"/>
  <c r="L7" i="1"/>
  <c r="M7" i="1"/>
  <c r="N7" i="1"/>
  <c r="J8" i="1"/>
  <c r="K8" i="1"/>
  <c r="L8" i="1"/>
  <c r="M8" i="1"/>
  <c r="N8" i="1"/>
  <c r="K4" i="1"/>
  <c r="L4" i="1"/>
  <c r="M4" i="1"/>
  <c r="N4" i="1"/>
  <c r="J4" i="1"/>
  <c r="C3" i="1"/>
  <c r="D3" i="1" s="1"/>
  <c r="E3" i="1" s="1"/>
  <c r="C4" i="1"/>
  <c r="C5" i="1"/>
  <c r="D5" i="1" s="1"/>
  <c r="E5" i="1" s="1"/>
  <c r="C6" i="1"/>
  <c r="D6" i="1" s="1"/>
  <c r="E6" i="1" s="1"/>
  <c r="C7" i="1"/>
  <c r="D7" i="1" s="1"/>
  <c r="E7" i="1" s="1"/>
  <c r="C8" i="1"/>
  <c r="D8" i="1" s="1"/>
  <c r="E8" i="1" s="1"/>
  <c r="C9" i="1"/>
  <c r="D9" i="1" s="1"/>
  <c r="E9" i="1" s="1"/>
  <c r="C10" i="1"/>
  <c r="D10" i="1" s="1"/>
  <c r="E10" i="1" s="1"/>
  <c r="C11" i="1"/>
  <c r="D11" i="1" s="1"/>
  <c r="E11" i="1" s="1"/>
  <c r="C12" i="1"/>
  <c r="D12" i="1" s="1"/>
  <c r="E12" i="1" s="1"/>
  <c r="D4" i="1"/>
  <c r="E4" i="1" s="1"/>
  <c r="E14" i="1" l="1"/>
</calcChain>
</file>

<file path=xl/sharedStrings.xml><?xml version="1.0" encoding="utf-8"?>
<sst xmlns="http://schemas.openxmlformats.org/spreadsheetml/2006/main" count="18" uniqueCount="18">
  <si>
    <t>Unit Price</t>
  </si>
  <si>
    <t>Unit</t>
  </si>
  <si>
    <t>Total sales</t>
  </si>
  <si>
    <t>Discount</t>
  </si>
  <si>
    <t>Discount Price</t>
  </si>
  <si>
    <t>After Discount</t>
  </si>
  <si>
    <t>sum</t>
  </si>
  <si>
    <t>count</t>
  </si>
  <si>
    <t>counta</t>
  </si>
  <si>
    <t>average</t>
  </si>
  <si>
    <t>min</t>
  </si>
  <si>
    <t>max</t>
  </si>
  <si>
    <t>mod</t>
  </si>
  <si>
    <t>power</t>
  </si>
  <si>
    <t>abs</t>
  </si>
  <si>
    <t>round</t>
  </si>
  <si>
    <t>roundup</t>
  </si>
  <si>
    <t>rounddown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</si>
</sst>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C778-4A95-4ABB-B0C7-A2E1AAE03010}">
  <dimension ref="A1:N24"/>
  <sheetViews>
    <sheetView tabSelected="1" topLeftCell="A10" workbookViewId="0">
      <selection activeCell="C25" sqref="C25"/>
    </sheetView>
  </sheetViews>
  <sheetFormatPr defaultRowHeight="14.5" x14ac:dyDescent="0.35"/>
  <cols>
    <col min="3" max="3" width="9.453125" customWidth="1"/>
    <col min="4" max="4" width="13.54296875" customWidth="1"/>
    <col min="5" max="5" width="13.26953125" customWidth="1"/>
  </cols>
  <sheetData>
    <row r="1" spans="1:14" x14ac:dyDescent="0.35">
      <c r="A1" t="s">
        <v>3</v>
      </c>
      <c r="B1">
        <v>0.25</v>
      </c>
    </row>
    <row r="2" spans="1:14" x14ac:dyDescent="0.35">
      <c r="A2" t="s">
        <v>0</v>
      </c>
      <c r="B2" t="s">
        <v>1</v>
      </c>
      <c r="C2" t="s">
        <v>2</v>
      </c>
      <c r="D2" t="s">
        <v>4</v>
      </c>
      <c r="E2" t="s">
        <v>5</v>
      </c>
    </row>
    <row r="3" spans="1:14" x14ac:dyDescent="0.35">
      <c r="A3">
        <v>5675</v>
      </c>
      <c r="B3">
        <v>10</v>
      </c>
      <c r="C3">
        <f>A3*B3</f>
        <v>56750</v>
      </c>
      <c r="D3">
        <f>C3*$B$1</f>
        <v>14187.5</v>
      </c>
      <c r="E3">
        <f>C3-D3</f>
        <v>42562.5</v>
      </c>
      <c r="J3">
        <v>1</v>
      </c>
      <c r="K3">
        <v>2</v>
      </c>
      <c r="L3">
        <v>3</v>
      </c>
      <c r="M3">
        <v>4</v>
      </c>
      <c r="N3">
        <v>5</v>
      </c>
    </row>
    <row r="4" spans="1:14" x14ac:dyDescent="0.35">
      <c r="A4">
        <v>3621</v>
      </c>
      <c r="B4">
        <v>9</v>
      </c>
      <c r="C4">
        <f t="shared" ref="C4:C12" si="0">A4*B4</f>
        <v>32589</v>
      </c>
      <c r="D4">
        <f t="shared" ref="D4:D14" si="1">C4*$B$1</f>
        <v>8147.25</v>
      </c>
      <c r="E4">
        <f t="shared" ref="E4:E14" si="2">C4-D4</f>
        <v>24441.75</v>
      </c>
      <c r="I4">
        <v>10</v>
      </c>
      <c r="J4">
        <f>$I4*J$3</f>
        <v>10</v>
      </c>
      <c r="K4">
        <f>$I4*K$3</f>
        <v>20</v>
      </c>
      <c r="L4">
        <f>$I4*L$3</f>
        <v>30</v>
      </c>
      <c r="M4">
        <f>$I4*M$3</f>
        <v>40</v>
      </c>
      <c r="N4">
        <f>$I4*N$3</f>
        <v>50</v>
      </c>
    </row>
    <row r="5" spans="1:14" x14ac:dyDescent="0.35">
      <c r="A5">
        <v>2633</v>
      </c>
      <c r="B5">
        <v>7</v>
      </c>
      <c r="C5">
        <f t="shared" si="0"/>
        <v>18431</v>
      </c>
      <c r="D5">
        <f t="shared" si="1"/>
        <v>4607.75</v>
      </c>
      <c r="E5">
        <f t="shared" si="2"/>
        <v>13823.25</v>
      </c>
      <c r="I5">
        <v>20</v>
      </c>
      <c r="J5">
        <f>$I5*J$3</f>
        <v>20</v>
      </c>
      <c r="K5">
        <f>$I5*K$3</f>
        <v>40</v>
      </c>
      <c r="L5">
        <f>$I5*L$3</f>
        <v>60</v>
      </c>
      <c r="M5">
        <f>$I5*M$3</f>
        <v>80</v>
      </c>
      <c r="N5">
        <f>$I5*N$3</f>
        <v>100</v>
      </c>
    </row>
    <row r="6" spans="1:14" x14ac:dyDescent="0.35">
      <c r="A6">
        <v>2575</v>
      </c>
      <c r="B6">
        <v>10</v>
      </c>
      <c r="C6">
        <f t="shared" si="0"/>
        <v>25750</v>
      </c>
      <c r="D6">
        <f t="shared" si="1"/>
        <v>6437.5</v>
      </c>
      <c r="E6">
        <f t="shared" si="2"/>
        <v>19312.5</v>
      </c>
      <c r="I6">
        <v>30</v>
      </c>
      <c r="J6">
        <f>$I6*J$3</f>
        <v>30</v>
      </c>
      <c r="K6">
        <f>$I6*K$3</f>
        <v>60</v>
      </c>
      <c r="L6">
        <f>$I6*L$3</f>
        <v>90</v>
      </c>
      <c r="M6">
        <f>$I6*M$3</f>
        <v>120</v>
      </c>
      <c r="N6">
        <f>$I6*N$3</f>
        <v>150</v>
      </c>
    </row>
    <row r="7" spans="1:14" x14ac:dyDescent="0.35">
      <c r="A7">
        <v>4631</v>
      </c>
      <c r="B7">
        <v>5</v>
      </c>
      <c r="C7">
        <f t="shared" si="0"/>
        <v>23155</v>
      </c>
      <c r="D7">
        <f t="shared" si="1"/>
        <v>5788.75</v>
      </c>
      <c r="E7">
        <f t="shared" si="2"/>
        <v>17366.25</v>
      </c>
      <c r="I7">
        <v>40</v>
      </c>
      <c r="J7">
        <f>$I7*J$3</f>
        <v>40</v>
      </c>
      <c r="K7">
        <f>$I7*K$3</f>
        <v>80</v>
      </c>
      <c r="L7">
        <f>$I7*L$3</f>
        <v>120</v>
      </c>
      <c r="M7">
        <f>$I7*M$3</f>
        <v>160</v>
      </c>
      <c r="N7">
        <f>$I7*N$3</f>
        <v>200</v>
      </c>
    </row>
    <row r="8" spans="1:14" x14ac:dyDescent="0.35">
      <c r="A8">
        <v>3779</v>
      </c>
      <c r="B8">
        <v>3</v>
      </c>
      <c r="C8">
        <f t="shared" si="0"/>
        <v>11337</v>
      </c>
      <c r="D8">
        <f t="shared" si="1"/>
        <v>2834.25</v>
      </c>
      <c r="E8">
        <f t="shared" si="2"/>
        <v>8502.75</v>
      </c>
      <c r="I8">
        <v>50</v>
      </c>
      <c r="J8">
        <f>$I8*J$3</f>
        <v>50</v>
      </c>
      <c r="K8">
        <f>$I8*K$3</f>
        <v>100</v>
      </c>
      <c r="L8">
        <f>$I8*L$3</f>
        <v>150</v>
      </c>
      <c r="M8">
        <f>$I8*M$3</f>
        <v>200</v>
      </c>
      <c r="N8">
        <f>$I8*N$3</f>
        <v>250</v>
      </c>
    </row>
    <row r="9" spans="1:14" x14ac:dyDescent="0.35">
      <c r="A9">
        <v>5085</v>
      </c>
      <c r="B9">
        <v>9</v>
      </c>
      <c r="C9">
        <f t="shared" si="0"/>
        <v>45765</v>
      </c>
      <c r="D9">
        <f t="shared" si="1"/>
        <v>11441.25</v>
      </c>
      <c r="E9">
        <f t="shared" si="2"/>
        <v>34323.75</v>
      </c>
    </row>
    <row r="10" spans="1:14" x14ac:dyDescent="0.35">
      <c r="A10">
        <v>4248</v>
      </c>
      <c r="B10">
        <v>8</v>
      </c>
      <c r="C10">
        <f t="shared" si="0"/>
        <v>33984</v>
      </c>
      <c r="D10">
        <f t="shared" si="1"/>
        <v>8496</v>
      </c>
      <c r="E10">
        <f t="shared" si="2"/>
        <v>25488</v>
      </c>
    </row>
    <row r="11" spans="1:14" x14ac:dyDescent="0.35">
      <c r="A11">
        <v>1655</v>
      </c>
      <c r="B11">
        <v>5</v>
      </c>
      <c r="C11">
        <f t="shared" si="0"/>
        <v>8275</v>
      </c>
      <c r="D11">
        <f t="shared" si="1"/>
        <v>2068.75</v>
      </c>
      <c r="E11">
        <f t="shared" si="2"/>
        <v>6206.25</v>
      </c>
    </row>
    <row r="12" spans="1:14" x14ac:dyDescent="0.35">
      <c r="A12">
        <v>4856</v>
      </c>
      <c r="B12">
        <v>3</v>
      </c>
      <c r="C12">
        <f t="shared" si="0"/>
        <v>14568</v>
      </c>
      <c r="D12">
        <f t="shared" si="1"/>
        <v>3642</v>
      </c>
      <c r="E12">
        <f t="shared" si="2"/>
        <v>10926</v>
      </c>
    </row>
    <row r="13" spans="1:14" x14ac:dyDescent="0.35">
      <c r="B13" t="s">
        <v>6</v>
      </c>
      <c r="C13">
        <f>SUM(C3:C12)</f>
        <v>270604</v>
      </c>
      <c r="D13">
        <f t="shared" si="1"/>
        <v>67651</v>
      </c>
      <c r="E13">
        <f t="shared" si="2"/>
        <v>202953</v>
      </c>
    </row>
    <row r="14" spans="1:14" x14ac:dyDescent="0.35">
      <c r="B14" t="s">
        <v>7</v>
      </c>
      <c r="C14">
        <f>COUNT(C3:C12)</f>
        <v>10</v>
      </c>
      <c r="D14">
        <f t="shared" si="1"/>
        <v>2.5</v>
      </c>
      <c r="E14">
        <f t="shared" si="2"/>
        <v>7.5</v>
      </c>
    </row>
    <row r="15" spans="1:14" x14ac:dyDescent="0.35">
      <c r="B15" t="s">
        <v>8</v>
      </c>
      <c r="C15">
        <f>COUNTA(C3:C12)</f>
        <v>10</v>
      </c>
    </row>
    <row r="16" spans="1:14" x14ac:dyDescent="0.35">
      <c r="B16" t="s">
        <v>9</v>
      </c>
      <c r="C16">
        <f>AVERAGE(C3:C12)</f>
        <v>27060.400000000001</v>
      </c>
    </row>
    <row r="17" spans="2:3" x14ac:dyDescent="0.35">
      <c r="B17" t="s">
        <v>10</v>
      </c>
      <c r="C17">
        <f>MIN(C3:C12)</f>
        <v>8275</v>
      </c>
    </row>
    <row r="18" spans="2:3" x14ac:dyDescent="0.35">
      <c r="B18" t="s">
        <v>11</v>
      </c>
      <c r="C18">
        <f>MAX(C3:C12)</f>
        <v>56750</v>
      </c>
    </row>
    <row r="19" spans="2:3" x14ac:dyDescent="0.35">
      <c r="B19" t="s">
        <v>12</v>
      </c>
      <c r="C19">
        <f>MOD(C11,C12)</f>
        <v>8275</v>
      </c>
    </row>
    <row r="20" spans="2:3" x14ac:dyDescent="0.35">
      <c r="B20" t="s">
        <v>13</v>
      </c>
      <c r="C20">
        <f>POWER(10,2)</f>
        <v>100</v>
      </c>
    </row>
    <row r="21" spans="2:3" x14ac:dyDescent="0.35">
      <c r="B21" t="s">
        <v>14</v>
      </c>
      <c r="C21">
        <f>ABS(48)</f>
        <v>48</v>
      </c>
    </row>
    <row r="22" spans="2:3" x14ac:dyDescent="0.35">
      <c r="B22" t="s">
        <v>15</v>
      </c>
      <c r="C22">
        <f>ROUND(3.14512,3)</f>
        <v>3.145</v>
      </c>
    </row>
    <row r="23" spans="2:3" x14ac:dyDescent="0.35">
      <c r="B23" t="s">
        <v>16</v>
      </c>
      <c r="C23">
        <f>ROUNDUP(3.145,0)</f>
        <v>4</v>
      </c>
    </row>
    <row r="24" spans="2:3" x14ac:dyDescent="0.35">
      <c r="B24" t="s">
        <v>17</v>
      </c>
      <c r="C24">
        <f>C22</f>
        <v>3.145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Shivam Nayak</dc:creator>
  <cp:lastModifiedBy>Shivam Nayak</cp:lastModifiedBy>
  <dcterms:created xsi:type="dcterms:W3CDTF">2026-07-28T13:52:06Z</dcterms:created>
  <dcterms:modified xsi:type="dcterms:W3CDTF">2026-07-28T15:17:37Z</dcterms:modified>
</cp:coreProperties>
</file>