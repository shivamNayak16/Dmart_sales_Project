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9fb36a3f97524f/Desktop/Dmart_Sales/"/>
    </mc:Choice>
  </mc:AlternateContent>
  <xr:revisionPtr revIDLastSave="115" documentId="8_{5A783F98-E7B9-48F0-B880-BE381BE614FD}" xr6:coauthVersionLast="47" xr6:coauthVersionMax="47" xr10:uidLastSave="{740D5C0C-9A3D-4A48-A569-2FA9CE494CA2}"/>
  <bookViews>
    <workbookView xWindow="-110" yWindow="-110" windowWidth="19420" windowHeight="10300" xr2:uid="{2516AB57-94B7-483D-B023-2E9B28841551}"/>
  </bookViews>
  <sheets>
    <sheet name="Sheet1" sheetId="1" r:id="rId1"/>
    <sheet name="Sheet2" sheetId="2" r:id="rId2"/>
    <sheet name="Sheet4" sheetId="4" r:id="rId3"/>
    <sheet name="Sheet5" sheetId="5" r:id="rId4"/>
    <sheet name="Sheet3" sheetId="3" r:id="rId5"/>
    <sheet name="Sheet6" sheetId="6" r:id="rId6"/>
    <sheet name="consolidate" sheetId="7" r:id="rId7"/>
  </sheets>
  <definedNames>
    <definedName name="Discount">Table1[[#All],[Discount]]</definedName>
    <definedName name="unit">Table1[Discount]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7" l="1"/>
  <c r="K21" i="7"/>
  <c r="L21" i="7"/>
  <c r="M21" i="7"/>
  <c r="J22" i="7"/>
  <c r="J23" i="7" s="1"/>
  <c r="K22" i="7"/>
  <c r="K23" i="7" s="1"/>
  <c r="L22" i="7"/>
  <c r="L23" i="7" s="1"/>
  <c r="M22" i="7"/>
  <c r="M23" i="7" s="1"/>
  <c r="J24" i="7"/>
  <c r="K24" i="7"/>
  <c r="L24" i="7"/>
  <c r="M24" i="7"/>
  <c r="J25" i="7"/>
  <c r="K25" i="7"/>
  <c r="L25" i="7"/>
  <c r="M25" i="7"/>
  <c r="J27" i="7"/>
  <c r="K27" i="7"/>
  <c r="L27" i="7"/>
  <c r="M27" i="7"/>
  <c r="J28" i="7"/>
  <c r="K28" i="7"/>
  <c r="L28" i="7"/>
  <c r="M28" i="7"/>
  <c r="J30" i="7"/>
  <c r="K30" i="7"/>
  <c r="L30" i="7"/>
  <c r="M30" i="7"/>
  <c r="J31" i="7"/>
  <c r="J32" i="7" s="1"/>
  <c r="K31" i="7"/>
  <c r="K32" i="7" s="1"/>
  <c r="L31" i="7"/>
  <c r="L32" i="7" s="1"/>
  <c r="M31" i="7"/>
  <c r="M32" i="7" s="1"/>
  <c r="B2" i="7"/>
  <c r="C2" i="7"/>
  <c r="D2" i="7"/>
  <c r="E2" i="7"/>
  <c r="B3" i="7"/>
  <c r="C3" i="7"/>
  <c r="D3" i="7"/>
  <c r="E3" i="7"/>
  <c r="B5" i="7"/>
  <c r="C5" i="7"/>
  <c r="D5" i="7"/>
  <c r="E5" i="7"/>
  <c r="B6" i="7"/>
  <c r="C6" i="7"/>
  <c r="D6" i="7"/>
  <c r="E6" i="7"/>
  <c r="B8" i="7"/>
  <c r="C8" i="7"/>
  <c r="D8" i="7"/>
  <c r="E8" i="7"/>
  <c r="B9" i="7"/>
  <c r="C9" i="7"/>
  <c r="D9" i="7"/>
  <c r="E9" i="7"/>
  <c r="B11" i="7"/>
  <c r="C11" i="7"/>
  <c r="D11" i="7"/>
  <c r="E11" i="7"/>
  <c r="B12" i="7"/>
  <c r="C12" i="7"/>
  <c r="D12" i="7"/>
  <c r="E12" i="7"/>
  <c r="K20" i="2"/>
  <c r="K19" i="2"/>
  <c r="K18" i="2"/>
  <c r="L18" i="2" s="1"/>
  <c r="M18" i="2" s="1"/>
  <c r="K17" i="2"/>
  <c r="L17" i="2" s="1"/>
  <c r="L16" i="2"/>
  <c r="M16" i="2" s="1"/>
  <c r="K16" i="2"/>
  <c r="L15" i="2"/>
  <c r="M15" i="2" s="1"/>
  <c r="K15" i="2"/>
  <c r="L14" i="2"/>
  <c r="M14" i="2" s="1"/>
  <c r="K14" i="2"/>
  <c r="K13" i="2"/>
  <c r="L12" i="2"/>
  <c r="M12" i="2" s="1"/>
  <c r="K12" i="2"/>
  <c r="L11" i="2"/>
  <c r="M11" i="2" s="1"/>
  <c r="K11" i="2"/>
  <c r="K21" i="2" s="1"/>
  <c r="D3" i="2" a="1"/>
  <c r="D3" i="2" s="1"/>
  <c r="D2" i="2"/>
  <c r="D1" i="2"/>
  <c r="A1" i="2" a="1"/>
  <c r="A1" i="2" s="1"/>
  <c r="G15" i="1"/>
  <c r="G14" i="1"/>
  <c r="C24" i="1"/>
  <c r="C23" i="1"/>
  <c r="C22" i="1"/>
  <c r="C21" i="1"/>
  <c r="C20" i="1"/>
  <c r="C19" i="1"/>
  <c r="C18" i="1"/>
  <c r="C17" i="1"/>
  <c r="C16" i="1"/>
  <c r="C15" i="1"/>
  <c r="C14" i="1"/>
  <c r="D14" i="1" s="1"/>
  <c r="C13" i="1"/>
  <c r="D13" i="1"/>
  <c r="E13" i="1"/>
  <c r="J5" i="1"/>
  <c r="K5" i="1"/>
  <c r="L5" i="1"/>
  <c r="M5" i="1"/>
  <c r="N5" i="1"/>
  <c r="J6" i="1"/>
  <c r="K6" i="1"/>
  <c r="L6" i="1"/>
  <c r="M6" i="1"/>
  <c r="N6" i="1"/>
  <c r="J7" i="1"/>
  <c r="K7" i="1"/>
  <c r="L7" i="1"/>
  <c r="M7" i="1"/>
  <c r="N7" i="1"/>
  <c r="J8" i="1"/>
  <c r="K8" i="1"/>
  <c r="L8" i="1"/>
  <c r="M8" i="1"/>
  <c r="N8" i="1"/>
  <c r="K4" i="1"/>
  <c r="L4" i="1"/>
  <c r="M4" i="1"/>
  <c r="N4" i="1"/>
  <c r="J4" i="1"/>
  <c r="C3" i="1"/>
  <c r="D3" i="1" s="1"/>
  <c r="E3" i="1" s="1"/>
  <c r="C4" i="1"/>
  <c r="C5" i="1"/>
  <c r="D5" i="1" s="1"/>
  <c r="E5" i="1" s="1"/>
  <c r="C6" i="1"/>
  <c r="D6" i="1" s="1"/>
  <c r="E6" i="1" s="1"/>
  <c r="C7" i="1"/>
  <c r="D7" i="1" s="1"/>
  <c r="E7" i="1" s="1"/>
  <c r="C8" i="1"/>
  <c r="D8" i="1" s="1"/>
  <c r="E8" i="1" s="1"/>
  <c r="C9" i="1"/>
  <c r="D9" i="1" s="1"/>
  <c r="E9" i="1" s="1"/>
  <c r="C10" i="1"/>
  <c r="D10" i="1" s="1"/>
  <c r="E10" i="1" s="1"/>
  <c r="C11" i="1"/>
  <c r="D11" i="1" s="1"/>
  <c r="E11" i="1" s="1"/>
  <c r="C12" i="1"/>
  <c r="D12" i="1" s="1"/>
  <c r="E12" i="1" s="1"/>
  <c r="D4" i="1"/>
  <c r="E4" i="1" s="1"/>
  <c r="M29" i="7" l="1"/>
  <c r="L29" i="7"/>
  <c r="K29" i="7"/>
  <c r="J29" i="7"/>
  <c r="E13" i="7"/>
  <c r="D13" i="7"/>
  <c r="D4" i="7"/>
  <c r="L26" i="7"/>
  <c r="M26" i="7"/>
  <c r="C13" i="7"/>
  <c r="C4" i="7"/>
  <c r="K26" i="7"/>
  <c r="E4" i="7"/>
  <c r="B13" i="7"/>
  <c r="B4" i="7"/>
  <c r="J26" i="7"/>
  <c r="E10" i="7"/>
  <c r="D10" i="7"/>
  <c r="C10" i="7"/>
  <c r="B10" i="7"/>
  <c r="E7" i="7"/>
  <c r="D7" i="7"/>
  <c r="C7" i="7"/>
  <c r="B7" i="7"/>
  <c r="L21" i="2"/>
  <c r="M21" i="2" s="1"/>
  <c r="M17" i="2"/>
  <c r="L19" i="2"/>
  <c r="M19" i="2" s="1"/>
  <c r="L20" i="2"/>
  <c r="M20" i="2" s="1"/>
  <c r="L13" i="2"/>
  <c r="M13" i="2" s="1"/>
  <c r="E14" i="1"/>
  <c r="F2" i="4"/>
  <c r="F4" i="4"/>
  <c r="F5" i="4"/>
  <c r="F3" i="4"/>
  <c r="F6" i="4"/>
  <c r="B2" i="4"/>
  <c r="B6" i="4"/>
  <c r="B5" i="4"/>
  <c r="B3" i="4"/>
  <c r="B4" i="4"/>
  <c r="C2" i="4"/>
  <c r="C6" i="4"/>
  <c r="C4" i="4"/>
  <c r="C3" i="4"/>
  <c r="C5" i="4"/>
  <c r="D4" i="4"/>
  <c r="D2" i="4"/>
  <c r="D6" i="4"/>
  <c r="D3" i="4"/>
  <c r="D5" i="4"/>
  <c r="E4" i="4"/>
  <c r="E5" i="4"/>
  <c r="E2" i="4"/>
  <c r="E3" i="4"/>
  <c r="E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<sst xmlns="http://schemas.openxmlformats.org/spreadsheetml/2006/main" count="71" uniqueCount="33">
  <si>
    <t>Unit Price</t>
  </si>
  <si>
    <t>Unit</t>
  </si>
  <si>
    <t>Total sales</t>
  </si>
  <si>
    <t>Discount</t>
  </si>
  <si>
    <t>Discount Price</t>
  </si>
  <si>
    <t>After Discount</t>
  </si>
  <si>
    <t>sum</t>
  </si>
  <si>
    <t>count</t>
  </si>
  <si>
    <t>counta</t>
  </si>
  <si>
    <t>average</t>
  </si>
  <si>
    <t>min</t>
  </si>
  <si>
    <t>max</t>
  </si>
  <si>
    <t>mod</t>
  </si>
  <si>
    <t>power</t>
  </si>
  <si>
    <t>abs</t>
  </si>
  <si>
    <t>round</t>
  </si>
  <si>
    <t>roundup</t>
  </si>
  <si>
    <t>rounddown</t>
  </si>
  <si>
    <t>0.25</t>
  </si>
  <si>
    <t>Column1</t>
  </si>
  <si>
    <t>Column2</t>
  </si>
  <si>
    <t>Column3</t>
  </si>
  <si>
    <t>su</t>
  </si>
  <si>
    <t>JAN</t>
  </si>
  <si>
    <t>FEB</t>
  </si>
  <si>
    <t>MAR</t>
  </si>
  <si>
    <t>APR</t>
  </si>
  <si>
    <t>Person A</t>
  </si>
  <si>
    <t>Person B</t>
  </si>
  <si>
    <t>Person C</t>
  </si>
  <si>
    <t>Person D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</si>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</sst>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077F8-D54E-46F5-AB46-6FDE880E58D7}" name="Table1" displayName="Table1" ref="A1:E13" totalsRowShown="0">
  <autoFilter ref="A1:E13" xr:uid="{974077F8-D54E-46F5-AB46-6FDE880E58D7}"/>
  <tableColumns count="5">
    <tableColumn id="1" xr3:uid="{91B3E4CE-44DF-4BB4-8CF7-CD7C1DD5D868}" name="Discount"/>
    <tableColumn id="2" xr3:uid="{D0DB1111-2B26-4DD8-9501-06704CA58645}" name="0.25"/>
    <tableColumn id="3" xr3:uid="{A1B579C5-9EDF-40A8-B938-95B6AC96E193}" name="Column1"/>
    <tableColumn id="4" xr3:uid="{F3555D1F-4AFF-49FE-8B05-635A42133E1E}" name="Column2">
      <calculatedColumnFormula>C2*$B$1</calculatedColumnFormula>
    </tableColumn>
    <tableColumn id="5" xr3:uid="{F5FCEC11-7495-4729-A743-EEE23E0958E6}" name="Column3">
      <calculatedColumnFormula>C2-D2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544315-AC5E-4AB8-A178-8695D8390A7E}" name="Table13" displayName="Table13" ref="I9:M21" totalsRowShown="0">
  <autoFilter ref="I9:M21" xr:uid="{BC544315-AC5E-4AB8-A178-8695D8390A7E}"/>
  <tableColumns count="5">
    <tableColumn id="1" xr3:uid="{A1DEC77E-DC49-442C-B92D-7582761F1217}" name="Discount"/>
    <tableColumn id="2" xr3:uid="{CD3084CB-2487-4C52-85D7-4018D1A85872}" name="0.25"/>
    <tableColumn id="3" xr3:uid="{C0DBC02E-61E2-4714-8857-0CA8C660A7CC}" name="Column1"/>
    <tableColumn id="4" xr3:uid="{E326D7F6-FB9E-4AC6-8801-29C9AF558984}" name="Column2">
      <calculatedColumnFormula>K10*$B$1</calculatedColumnFormula>
    </tableColumn>
    <tableColumn id="5" xr3:uid="{AE18D2C4-8ED4-4179-BFC2-1CCF3CEC9335}" name="Column3">
      <calculatedColumnFormula>K10-L10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D6004B-F262-4C0C-A3EB-2C9A5E65A4E1}" name="Table4" displayName="Table4" ref="I5:I6" insertRow="1" totalsRowShown="0">
  <autoFilter ref="I5:I6" xr:uid="{0FD6004B-F262-4C0C-A3EB-2C9A5E65A4E1}"/>
  <tableColumns count="1">
    <tableColumn id="1" xr3:uid="{50073A97-1EFA-477B-9629-871D83CD380C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081821-3717-4564-835A-D1180EE37727}" name="Table5" displayName="Table5" ref="A1:E5" totalsRowShown="0">
  <autoFilter ref="A1:E5" xr:uid="{DB081821-3717-4564-835A-D1180EE37727}"/>
  <tableColumns count="5">
    <tableColumn id="1" xr3:uid="{EC58A048-723D-493C-9E6C-C57120597E7D}" name="Column1"/>
    <tableColumn id="2" xr3:uid="{AAD0CE84-3494-4F28-91C9-59036D31F0B5}" name="JAN"/>
    <tableColumn id="3" xr3:uid="{E2CA7CC4-6A3C-4441-858F-BF4FFD0B93DE}" name="FEB"/>
    <tableColumn id="4" xr3:uid="{D4FE5AF9-58BC-42D0-8ABC-1B147C50F310}" name="MAR"/>
    <tableColumn id="5" xr3:uid="{26C1EAD6-8ACA-4CA1-8484-A355922A42E8}" name="AP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66BE43-589F-41A0-BFD7-0B1A8A289D8C}" name="Table3" displayName="Table3" ref="N16:R21" totalsRowShown="0">
  <autoFilter ref="N16:R21" xr:uid="{BC66BE43-589F-41A0-BFD7-0B1A8A289D8C}"/>
  <tableColumns count="5">
    <tableColumn id="1" xr3:uid="{86C466F2-54EF-45ED-9F1C-DB6E83B3F12A}" name="Column1"/>
    <tableColumn id="2" xr3:uid="{63DBD2E6-FA00-4741-8B75-B4050D410A96}" name="Column2"/>
    <tableColumn id="3" xr3:uid="{AA1BF894-A7DF-4410-8679-DDCBA44EB3B5}" name="Column3"/>
    <tableColumn id="4" xr3:uid="{83D74792-C346-40ED-AA52-4F6694B76D27}" name="Column4"/>
    <tableColumn id="5" xr3:uid="{3C0E922A-E546-4BE8-92D5-F06D132A43DE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C778-4A95-4ABB-B0C7-A2E1AAE03010}">
  <dimension ref="A1:N24"/>
  <sheetViews>
    <sheetView tabSelected="1" workbookViewId="0"/>
  </sheetViews>
  <sheetFormatPr defaultRowHeight="14.5" x14ac:dyDescent="0.35"/>
  <cols>
    <col min="1" max="1" width="10.36328125" customWidth="1"/>
    <col min="3" max="3" width="10.453125" customWidth="1"/>
    <col min="4" max="4" width="13.54296875" customWidth="1"/>
    <col min="5" max="5" width="13.26953125" customWidth="1"/>
  </cols>
  <sheetData>
    <row r="1" spans="1:14" x14ac:dyDescent="0.35">
      <c r="A1" t="s">
        <v>3</v>
      </c>
      <c r="B1" t="s">
        <v>18</v>
      </c>
      <c r="C1" t="s">
        <v>19</v>
      </c>
      <c r="D1" t="s">
        <v>20</v>
      </c>
      <c r="E1" t="s">
        <v>21</v>
      </c>
    </row>
    <row r="2" spans="1:14" x14ac:dyDescent="0.35">
      <c r="A2" t="s">
        <v>0</v>
      </c>
      <c r="B2" t="s">
        <v>1</v>
      </c>
      <c r="C2" t="s">
        <v>2</v>
      </c>
      <c r="D2" t="s">
        <v>4</v>
      </c>
      <c r="E2" t="s">
        <v>5</v>
      </c>
    </row>
    <row r="3" spans="1:14" x14ac:dyDescent="0.35">
      <c r="A3">
        <v>5675</v>
      </c>
      <c r="B3">
        <v>10</v>
      </c>
      <c r="C3">
        <f>A3*B3</f>
        <v>56750</v>
      </c>
      <c r="D3">
        <f>C3*$B$1</f>
        <v>14187.5</v>
      </c>
      <c r="E3">
        <f>C3-D3</f>
        <v>42562.5</v>
      </c>
      <c r="J3">
        <v>1</v>
      </c>
      <c r="K3">
        <v>2</v>
      </c>
      <c r="L3">
        <v>3</v>
      </c>
      <c r="M3">
        <v>4</v>
      </c>
      <c r="N3">
        <v>5</v>
      </c>
    </row>
    <row r="4" spans="1:14" x14ac:dyDescent="0.35">
      <c r="A4">
        <v>3621</v>
      </c>
      <c r="B4">
        <v>9</v>
      </c>
      <c r="C4">
        <f t="shared" ref="C4:C12" si="0">A4*B4</f>
        <v>32589</v>
      </c>
      <c r="D4">
        <f t="shared" ref="D4:D14" si="1">C4*$B$1</f>
        <v>8147.25</v>
      </c>
      <c r="E4">
        <f t="shared" ref="E4:E14" si="2">C4-D4</f>
        <v>24441.75</v>
      </c>
      <c r="I4">
        <v>10</v>
      </c>
      <c r="J4">
        <f t="shared" ref="J4:N8" si="3">$I4*J$3</f>
        <v>10</v>
      </c>
      <c r="K4">
        <f t="shared" si="3"/>
        <v>20</v>
      </c>
      <c r="L4">
        <f t="shared" si="3"/>
        <v>30</v>
      </c>
      <c r="M4">
        <f t="shared" si="3"/>
        <v>40</v>
      </c>
      <c r="N4">
        <f t="shared" si="3"/>
        <v>50</v>
      </c>
    </row>
    <row r="5" spans="1:14" x14ac:dyDescent="0.35">
      <c r="A5">
        <v>2633</v>
      </c>
      <c r="B5">
        <v>7</v>
      </c>
      <c r="C5">
        <f t="shared" si="0"/>
        <v>18431</v>
      </c>
      <c r="D5">
        <f t="shared" si="1"/>
        <v>4607.75</v>
      </c>
      <c r="E5">
        <f t="shared" si="2"/>
        <v>13823.25</v>
      </c>
      <c r="I5">
        <v>20</v>
      </c>
      <c r="J5">
        <f t="shared" si="3"/>
        <v>20</v>
      </c>
      <c r="K5">
        <f t="shared" si="3"/>
        <v>40</v>
      </c>
      <c r="L5">
        <f t="shared" si="3"/>
        <v>60</v>
      </c>
      <c r="M5">
        <f t="shared" si="3"/>
        <v>80</v>
      </c>
      <c r="N5">
        <f t="shared" si="3"/>
        <v>100</v>
      </c>
    </row>
    <row r="6" spans="1:14" x14ac:dyDescent="0.35">
      <c r="A6">
        <v>2575</v>
      </c>
      <c r="B6">
        <v>10</v>
      </c>
      <c r="C6">
        <f t="shared" si="0"/>
        <v>25750</v>
      </c>
      <c r="D6">
        <f t="shared" si="1"/>
        <v>6437.5</v>
      </c>
      <c r="E6">
        <f t="shared" si="2"/>
        <v>19312.5</v>
      </c>
      <c r="I6">
        <v>30</v>
      </c>
      <c r="J6">
        <f t="shared" si="3"/>
        <v>30</v>
      </c>
      <c r="K6">
        <f t="shared" si="3"/>
        <v>60</v>
      </c>
      <c r="L6">
        <f t="shared" si="3"/>
        <v>90</v>
      </c>
      <c r="M6">
        <f t="shared" si="3"/>
        <v>120</v>
      </c>
      <c r="N6">
        <f t="shared" si="3"/>
        <v>150</v>
      </c>
    </row>
    <row r="7" spans="1:14" x14ac:dyDescent="0.35">
      <c r="A7">
        <v>4631</v>
      </c>
      <c r="B7">
        <v>5</v>
      </c>
      <c r="C7">
        <f t="shared" si="0"/>
        <v>23155</v>
      </c>
      <c r="D7">
        <f t="shared" si="1"/>
        <v>5788.75</v>
      </c>
      <c r="E7">
        <f t="shared" si="2"/>
        <v>17366.25</v>
      </c>
      <c r="I7">
        <v>40</v>
      </c>
      <c r="J7">
        <f t="shared" si="3"/>
        <v>40</v>
      </c>
      <c r="K7">
        <f t="shared" si="3"/>
        <v>80</v>
      </c>
      <c r="L7">
        <f t="shared" si="3"/>
        <v>120</v>
      </c>
      <c r="M7">
        <f t="shared" si="3"/>
        <v>160</v>
      </c>
      <c r="N7">
        <f t="shared" si="3"/>
        <v>200</v>
      </c>
    </row>
    <row r="8" spans="1:14" x14ac:dyDescent="0.35">
      <c r="A8">
        <v>3779</v>
      </c>
      <c r="B8">
        <v>3</v>
      </c>
      <c r="C8">
        <f t="shared" si="0"/>
        <v>11337</v>
      </c>
      <c r="D8">
        <f t="shared" si="1"/>
        <v>2834.25</v>
      </c>
      <c r="E8">
        <f t="shared" si="2"/>
        <v>8502.75</v>
      </c>
      <c r="I8">
        <v>50</v>
      </c>
      <c r="J8">
        <f t="shared" si="3"/>
        <v>50</v>
      </c>
      <c r="K8">
        <f t="shared" si="3"/>
        <v>100</v>
      </c>
      <c r="L8">
        <f t="shared" si="3"/>
        <v>150</v>
      </c>
      <c r="M8">
        <f t="shared" si="3"/>
        <v>200</v>
      </c>
      <c r="N8">
        <f t="shared" si="3"/>
        <v>250</v>
      </c>
    </row>
    <row r="9" spans="1:14" x14ac:dyDescent="0.35">
      <c r="A9">
        <v>5085</v>
      </c>
      <c r="B9">
        <v>9</v>
      </c>
      <c r="C9">
        <f t="shared" si="0"/>
        <v>45765</v>
      </c>
      <c r="D9">
        <f t="shared" si="1"/>
        <v>11441.25</v>
      </c>
      <c r="E9">
        <f t="shared" si="2"/>
        <v>34323.75</v>
      </c>
    </row>
    <row r="10" spans="1:14" x14ac:dyDescent="0.35">
      <c r="A10">
        <v>4248</v>
      </c>
      <c r="B10">
        <v>8</v>
      </c>
      <c r="C10">
        <f t="shared" si="0"/>
        <v>33984</v>
      </c>
      <c r="D10">
        <f t="shared" si="1"/>
        <v>8496</v>
      </c>
      <c r="E10">
        <f t="shared" si="2"/>
        <v>25488</v>
      </c>
    </row>
    <row r="11" spans="1:14" x14ac:dyDescent="0.35">
      <c r="A11">
        <v>1655</v>
      </c>
      <c r="B11">
        <v>5</v>
      </c>
      <c r="C11">
        <f t="shared" si="0"/>
        <v>8275</v>
      </c>
      <c r="D11">
        <f t="shared" si="1"/>
        <v>2068.75</v>
      </c>
      <c r="E11">
        <f t="shared" si="2"/>
        <v>6206.25</v>
      </c>
    </row>
    <row r="12" spans="1:14" x14ac:dyDescent="0.35">
      <c r="A12">
        <v>4856</v>
      </c>
      <c r="B12">
        <v>3</v>
      </c>
      <c r="C12">
        <f t="shared" si="0"/>
        <v>14568</v>
      </c>
      <c r="D12">
        <f t="shared" si="1"/>
        <v>3642</v>
      </c>
      <c r="E12">
        <f t="shared" si="2"/>
        <v>10926</v>
      </c>
    </row>
    <row r="13" spans="1:14" x14ac:dyDescent="0.35">
      <c r="B13" t="s">
        <v>6</v>
      </c>
      <c r="C13">
        <f>SUM(C3:C12)</f>
        <v>270604</v>
      </c>
      <c r="D13">
        <f t="shared" si="1"/>
        <v>67651</v>
      </c>
      <c r="E13">
        <f t="shared" si="2"/>
        <v>202953</v>
      </c>
    </row>
    <row r="14" spans="1:14" x14ac:dyDescent="0.35">
      <c r="B14" t="s">
        <v>7</v>
      </c>
      <c r="C14">
        <f>COUNT(C3:C12)</f>
        <v>10</v>
      </c>
      <c r="D14">
        <f t="shared" si="1"/>
        <v>2.5</v>
      </c>
      <c r="E14">
        <f t="shared" si="2"/>
        <v>7.5</v>
      </c>
      <c r="G14">
        <f>SUM(unit,Table1[[#Headers],[0.25]])</f>
        <v>38758</v>
      </c>
    </row>
    <row r="15" spans="1:14" x14ac:dyDescent="0.35">
      <c r="B15" t="s">
        <v>8</v>
      </c>
      <c r="C15">
        <f>COUNTA(C3:C12)</f>
        <v>10</v>
      </c>
      <c r="G15">
        <f>SUM(unit)</f>
        <v>38758</v>
      </c>
    </row>
    <row r="16" spans="1:14" x14ac:dyDescent="0.35">
      <c r="B16" t="s">
        <v>9</v>
      </c>
      <c r="C16">
        <f>AVERAGE(C3:C12)</f>
        <v>27060.400000000001</v>
      </c>
    </row>
    <row r="17" spans="2:3" x14ac:dyDescent="0.35">
      <c r="B17" t="s">
        <v>10</v>
      </c>
      <c r="C17">
        <f>MIN(C3:C12)</f>
        <v>8275</v>
      </c>
    </row>
    <row r="18" spans="2:3" x14ac:dyDescent="0.35">
      <c r="B18" t="s">
        <v>11</v>
      </c>
      <c r="C18">
        <f>MAX(C3:C12)</f>
        <v>56750</v>
      </c>
    </row>
    <row r="19" spans="2:3" x14ac:dyDescent="0.35">
      <c r="B19" t="s">
        <v>12</v>
      </c>
      <c r="C19">
        <f>MOD(C11,C12)</f>
        <v>8275</v>
      </c>
    </row>
    <row r="20" spans="2:3" x14ac:dyDescent="0.35">
      <c r="B20" t="s">
        <v>13</v>
      </c>
      <c r="C20">
        <f>POWER(10,2)</f>
        <v>100</v>
      </c>
    </row>
    <row r="21" spans="2:3" x14ac:dyDescent="0.35">
      <c r="B21" t="s">
        <v>14</v>
      </c>
      <c r="C21">
        <f>ABS(48)</f>
        <v>48</v>
      </c>
    </row>
    <row r="22" spans="2:3" x14ac:dyDescent="0.35">
      <c r="B22" t="s">
        <v>15</v>
      </c>
      <c r="C22">
        <f>ROUND(3.14512,3)</f>
        <v>3.145</v>
      </c>
    </row>
    <row r="23" spans="2:3" x14ac:dyDescent="0.35">
      <c r="B23" t="s">
        <v>16</v>
      </c>
      <c r="C23">
        <f>ROUNDUP(3.145,0)</f>
        <v>4</v>
      </c>
    </row>
    <row r="24" spans="2:3" x14ac:dyDescent="0.35">
      <c r="B24" t="s">
        <v>17</v>
      </c>
      <c r="C24">
        <f>C22</f>
        <v>3.145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B6B8-3E83-4015-AEFF-39906075250D}">
  <dimension ref="A1:M21"/>
  <sheetViews>
    <sheetView topLeftCell="A21" workbookViewId="0">
      <selection activeCell="D27" sqref="D27"/>
    </sheetView>
  </sheetViews>
  <sheetFormatPr defaultRowHeight="14.5" x14ac:dyDescent="0.35"/>
  <cols>
    <col min="9" max="9" width="10.6328125" bestFit="1" customWidth="1"/>
    <col min="10" max="10" width="6.6328125" bestFit="1" customWidth="1"/>
    <col min="11" max="11" width="10.7265625" bestFit="1" customWidth="1"/>
    <col min="12" max="12" width="12.6328125" bestFit="1" customWidth="1"/>
    <col min="13" max="13" width="12.36328125" bestFit="1" customWidth="1"/>
  </cols>
  <sheetData>
    <row r="1" spans="1:13" x14ac:dyDescent="0.35">
      <c r="A1" t="str" cm="1">
        <f t="array" ref="A1:A12">unit</f>
        <v>Unit Price</v>
      </c>
      <c r="B1" t="s">
        <v>22</v>
      </c>
      <c r="D1">
        <f>SUM(Discount)</f>
        <v>38758</v>
      </c>
    </row>
    <row r="2" spans="1:13" x14ac:dyDescent="0.35">
      <c r="A2">
        <v>5675</v>
      </c>
      <c r="D2" t="e" vm="1">
        <f>_xleta.DISC</f>
        <v>#VALUE!</v>
      </c>
    </row>
    <row r="3" spans="1:13" x14ac:dyDescent="0.35">
      <c r="A3">
        <v>3621</v>
      </c>
      <c r="D3" t="str" cm="1">
        <f t="array" ref="D3:D15">Discount</f>
        <v>Discount</v>
      </c>
    </row>
    <row r="4" spans="1:13" x14ac:dyDescent="0.35">
      <c r="A4">
        <v>2633</v>
      </c>
      <c r="D4" t="str">
        <v>Unit Price</v>
      </c>
    </row>
    <row r="5" spans="1:13" x14ac:dyDescent="0.35">
      <c r="A5">
        <v>2575</v>
      </c>
      <c r="D5">
        <v>5675</v>
      </c>
    </row>
    <row r="6" spans="1:13" x14ac:dyDescent="0.35">
      <c r="A6">
        <v>4631</v>
      </c>
      <c r="D6">
        <v>3621</v>
      </c>
    </row>
    <row r="7" spans="1:13" x14ac:dyDescent="0.35">
      <c r="A7">
        <v>3779</v>
      </c>
      <c r="D7">
        <v>2633</v>
      </c>
    </row>
    <row r="8" spans="1:13" x14ac:dyDescent="0.35">
      <c r="A8">
        <v>5085</v>
      </c>
      <c r="D8">
        <v>2575</v>
      </c>
    </row>
    <row r="9" spans="1:13" x14ac:dyDescent="0.35">
      <c r="A9">
        <v>4248</v>
      </c>
      <c r="D9">
        <v>4631</v>
      </c>
      <c r="I9" t="s">
        <v>3</v>
      </c>
      <c r="J9" t="s">
        <v>18</v>
      </c>
      <c r="K9" t="s">
        <v>19</v>
      </c>
      <c r="L9" t="s">
        <v>20</v>
      </c>
      <c r="M9" t="s">
        <v>21</v>
      </c>
    </row>
    <row r="10" spans="1:13" x14ac:dyDescent="0.35">
      <c r="A10">
        <v>1655</v>
      </c>
      <c r="D10">
        <v>3779</v>
      </c>
      <c r="I10" t="s">
        <v>0</v>
      </c>
      <c r="J10" t="s">
        <v>1</v>
      </c>
      <c r="K10" t="s">
        <v>2</v>
      </c>
      <c r="L10" t="s">
        <v>4</v>
      </c>
      <c r="M10" t="s">
        <v>5</v>
      </c>
    </row>
    <row r="11" spans="1:13" x14ac:dyDescent="0.35">
      <c r="A11">
        <v>4856</v>
      </c>
      <c r="D11">
        <v>5085</v>
      </c>
      <c r="I11">
        <v>5675</v>
      </c>
      <c r="J11">
        <v>10</v>
      </c>
      <c r="K11">
        <f>I11*J11</f>
        <v>56750</v>
      </c>
      <c r="L11" t="e">
        <f>K11*$B$1</f>
        <v>#VALUE!</v>
      </c>
      <c r="M11" t="e">
        <f>K11-L11</f>
        <v>#VALUE!</v>
      </c>
    </row>
    <row r="12" spans="1:13" x14ac:dyDescent="0.35">
      <c r="A12">
        <v>0</v>
      </c>
      <c r="D12">
        <v>4248</v>
      </c>
      <c r="I12">
        <v>3621</v>
      </c>
      <c r="J12">
        <v>9</v>
      </c>
      <c r="K12">
        <f t="shared" ref="K12:K20" si="0">I12*J12</f>
        <v>32589</v>
      </c>
      <c r="L12" t="e">
        <f t="shared" ref="L12:L21" si="1">K12*$B$1</f>
        <v>#VALUE!</v>
      </c>
      <c r="M12" t="e">
        <f t="shared" ref="M12:M21" si="2">K12-L12</f>
        <v>#VALUE!</v>
      </c>
    </row>
    <row r="13" spans="1:13" x14ac:dyDescent="0.35">
      <c r="D13">
        <v>1655</v>
      </c>
      <c r="I13">
        <v>2633</v>
      </c>
      <c r="J13">
        <v>7</v>
      </c>
      <c r="K13">
        <f t="shared" si="0"/>
        <v>18431</v>
      </c>
      <c r="L13" t="e">
        <f t="shared" si="1"/>
        <v>#VALUE!</v>
      </c>
      <c r="M13" t="e">
        <f t="shared" si="2"/>
        <v>#VALUE!</v>
      </c>
    </row>
    <row r="14" spans="1:13" x14ac:dyDescent="0.35">
      <c r="D14">
        <v>4856</v>
      </c>
      <c r="I14">
        <v>2575</v>
      </c>
      <c r="J14">
        <v>10</v>
      </c>
      <c r="K14">
        <f t="shared" si="0"/>
        <v>25750</v>
      </c>
      <c r="L14" t="e">
        <f t="shared" si="1"/>
        <v>#VALUE!</v>
      </c>
      <c r="M14" t="e">
        <f t="shared" si="2"/>
        <v>#VALUE!</v>
      </c>
    </row>
    <row r="15" spans="1:13" x14ac:dyDescent="0.35">
      <c r="D15">
        <v>0</v>
      </c>
      <c r="I15">
        <v>4631</v>
      </c>
      <c r="J15">
        <v>5</v>
      </c>
      <c r="K15">
        <f t="shared" si="0"/>
        <v>23155</v>
      </c>
      <c r="L15" t="e">
        <f t="shared" si="1"/>
        <v>#VALUE!</v>
      </c>
      <c r="M15" t="e">
        <f t="shared" si="2"/>
        <v>#VALUE!</v>
      </c>
    </row>
    <row r="16" spans="1:13" x14ac:dyDescent="0.35">
      <c r="I16">
        <v>3779</v>
      </c>
      <c r="J16">
        <v>3</v>
      </c>
      <c r="K16">
        <f t="shared" si="0"/>
        <v>11337</v>
      </c>
      <c r="L16" t="e">
        <f t="shared" si="1"/>
        <v>#VALUE!</v>
      </c>
      <c r="M16" t="e">
        <f t="shared" si="2"/>
        <v>#VALUE!</v>
      </c>
    </row>
    <row r="17" spans="9:13" x14ac:dyDescent="0.35">
      <c r="I17">
        <v>5085</v>
      </c>
      <c r="J17">
        <v>9</v>
      </c>
      <c r="K17">
        <f t="shared" si="0"/>
        <v>45765</v>
      </c>
      <c r="L17" t="e">
        <f t="shared" si="1"/>
        <v>#VALUE!</v>
      </c>
      <c r="M17" t="e">
        <f t="shared" si="2"/>
        <v>#VALUE!</v>
      </c>
    </row>
    <row r="18" spans="9:13" x14ac:dyDescent="0.35">
      <c r="I18">
        <v>4248</v>
      </c>
      <c r="J18">
        <v>8</v>
      </c>
      <c r="K18">
        <f t="shared" si="0"/>
        <v>33984</v>
      </c>
      <c r="L18" t="e">
        <f t="shared" si="1"/>
        <v>#VALUE!</v>
      </c>
      <c r="M18" t="e">
        <f t="shared" si="2"/>
        <v>#VALUE!</v>
      </c>
    </row>
    <row r="19" spans="9:13" x14ac:dyDescent="0.35">
      <c r="I19">
        <v>1655</v>
      </c>
      <c r="J19">
        <v>5</v>
      </c>
      <c r="K19">
        <f t="shared" si="0"/>
        <v>8275</v>
      </c>
      <c r="L19" t="e">
        <f t="shared" si="1"/>
        <v>#VALUE!</v>
      </c>
      <c r="M19" t="e">
        <f t="shared" si="2"/>
        <v>#VALUE!</v>
      </c>
    </row>
    <row r="20" spans="9:13" x14ac:dyDescent="0.35">
      <c r="I20">
        <v>4856</v>
      </c>
      <c r="J20">
        <v>3</v>
      </c>
      <c r="K20">
        <f t="shared" si="0"/>
        <v>14568</v>
      </c>
      <c r="L20" t="e">
        <f t="shared" si="1"/>
        <v>#VALUE!</v>
      </c>
      <c r="M20" t="e">
        <f t="shared" si="2"/>
        <v>#VALUE!</v>
      </c>
    </row>
    <row r="21" spans="9:13" x14ac:dyDescent="0.35">
      <c r="J21" t="s">
        <v>6</v>
      </c>
      <c r="K21">
        <f>SUM(K11:K20)</f>
        <v>270604</v>
      </c>
      <c r="L21" t="e">
        <f t="shared" si="1"/>
        <v>#VALUE!</v>
      </c>
      <c r="M21" t="e">
        <f t="shared" si="2"/>
        <v>#VALUE!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622A-A9E6-4E62-97C3-4E917CA6257B}">
  <dimension ref="A1:F6"/>
  <sheetViews>
    <sheetView workbookViewId="0">
      <selection sqref="A1:F6"/>
    </sheetView>
  </sheetViews>
  <sheetFormatPr defaultRowHeight="14.5" x14ac:dyDescent="0.35"/>
  <sheetData>
    <row r="1" spans="1:6" x14ac:dyDescent="0.35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5">
      <c r="A2">
        <v>10</v>
      </c>
      <c r="B2">
        <f t="shared" ref="B2:F6" ca="1" si="0">$I2*B$3</f>
        <v>10</v>
      </c>
      <c r="C2">
        <f t="shared" ca="1" si="0"/>
        <v>20</v>
      </c>
      <c r="D2">
        <f t="shared" ca="1" si="0"/>
        <v>30</v>
      </c>
      <c r="E2">
        <f t="shared" ca="1" si="0"/>
        <v>40</v>
      </c>
      <c r="F2">
        <f t="shared" ca="1" si="0"/>
        <v>50</v>
      </c>
    </row>
    <row r="3" spans="1:6" x14ac:dyDescent="0.35">
      <c r="A3">
        <v>20</v>
      </c>
      <c r="B3">
        <f t="shared" ca="1" si="0"/>
        <v>20</v>
      </c>
      <c r="C3">
        <f t="shared" ca="1" si="0"/>
        <v>40</v>
      </c>
      <c r="D3">
        <f t="shared" ca="1" si="0"/>
        <v>60</v>
      </c>
      <c r="E3">
        <f t="shared" ca="1" si="0"/>
        <v>80</v>
      </c>
      <c r="F3">
        <f t="shared" ca="1" si="0"/>
        <v>100</v>
      </c>
    </row>
    <row r="4" spans="1:6" x14ac:dyDescent="0.35">
      <c r="A4">
        <v>30</v>
      </c>
      <c r="B4">
        <f t="shared" ca="1" si="0"/>
        <v>30</v>
      </c>
      <c r="C4">
        <f t="shared" ca="1" si="0"/>
        <v>60</v>
      </c>
      <c r="D4">
        <f t="shared" ca="1" si="0"/>
        <v>90</v>
      </c>
      <c r="E4">
        <f t="shared" ca="1" si="0"/>
        <v>120</v>
      </c>
      <c r="F4">
        <f t="shared" ca="1" si="0"/>
        <v>150</v>
      </c>
    </row>
    <row r="5" spans="1:6" x14ac:dyDescent="0.35">
      <c r="A5">
        <v>40</v>
      </c>
      <c r="B5">
        <f t="shared" ca="1" si="0"/>
        <v>40</v>
      </c>
      <c r="C5">
        <f t="shared" ca="1" si="0"/>
        <v>80</v>
      </c>
      <c r="D5">
        <f t="shared" ca="1" si="0"/>
        <v>120</v>
      </c>
      <c r="E5">
        <f t="shared" ca="1" si="0"/>
        <v>160</v>
      </c>
      <c r="F5">
        <f t="shared" ca="1" si="0"/>
        <v>200</v>
      </c>
    </row>
    <row r="6" spans="1:6" x14ac:dyDescent="0.35">
      <c r="A6">
        <v>50</v>
      </c>
      <c r="B6">
        <f t="shared" ca="1" si="0"/>
        <v>50</v>
      </c>
      <c r="C6">
        <f t="shared" ca="1" si="0"/>
        <v>100</v>
      </c>
      <c r="D6">
        <f t="shared" ca="1" si="0"/>
        <v>150</v>
      </c>
      <c r="E6">
        <f t="shared" ca="1" si="0"/>
        <v>200</v>
      </c>
      <c r="F6">
        <f t="shared" ca="1" si="0"/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4AD-8689-49B3-86CA-AA5A300AA92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DB98-E71A-4192-AE5A-E90A0877F9EA}">
  <dimension ref="A1:E5"/>
  <sheetViews>
    <sheetView workbookViewId="0">
      <selection sqref="A1:E5"/>
    </sheetView>
  </sheetViews>
  <sheetFormatPr defaultRowHeight="14.5" x14ac:dyDescent="0.35"/>
  <sheetData>
    <row r="1" spans="1:5" x14ac:dyDescent="0.35">
      <c r="B1" t="s">
        <v>23</v>
      </c>
      <c r="C1" t="s">
        <v>24</v>
      </c>
      <c r="D1" t="s">
        <v>25</v>
      </c>
      <c r="E1" t="s">
        <v>26</v>
      </c>
    </row>
    <row r="2" spans="1:5" x14ac:dyDescent="0.35">
      <c r="A2" t="s">
        <v>27</v>
      </c>
      <c r="B2">
        <v>739</v>
      </c>
      <c r="C2">
        <v>324</v>
      </c>
      <c r="D2">
        <v>2414</v>
      </c>
      <c r="E2">
        <v>5457</v>
      </c>
    </row>
    <row r="3" spans="1:5" x14ac:dyDescent="0.35">
      <c r="A3" t="s">
        <v>28</v>
      </c>
      <c r="B3">
        <v>678</v>
      </c>
      <c r="C3">
        <v>8887</v>
      </c>
      <c r="D3">
        <v>8920</v>
      </c>
      <c r="E3">
        <v>4358</v>
      </c>
    </row>
    <row r="4" spans="1:5" x14ac:dyDescent="0.35">
      <c r="A4" t="s">
        <v>29</v>
      </c>
      <c r="B4">
        <v>432</v>
      </c>
      <c r="C4">
        <v>5776</v>
      </c>
      <c r="D4">
        <v>3457</v>
      </c>
      <c r="E4">
        <v>9654</v>
      </c>
    </row>
    <row r="5" spans="1:5" x14ac:dyDescent="0.35">
      <c r="A5" t="s">
        <v>30</v>
      </c>
      <c r="B5">
        <v>544</v>
      </c>
      <c r="C5">
        <v>6567</v>
      </c>
      <c r="D5">
        <v>4567</v>
      </c>
      <c r="E5">
        <v>7898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5335-0734-43BC-9D9B-F2FE4578C1B3}">
  <dimension ref="A1:I5"/>
  <sheetViews>
    <sheetView workbookViewId="0">
      <selection sqref="A1:E5"/>
    </sheetView>
  </sheetViews>
  <sheetFormatPr defaultRowHeight="14.5" x14ac:dyDescent="0.35"/>
  <cols>
    <col min="1" max="1" width="10.453125" customWidth="1"/>
    <col min="9" max="9" width="10.453125" customWidth="1"/>
  </cols>
  <sheetData>
    <row r="1" spans="1:9" x14ac:dyDescent="0.35">
      <c r="A1" t="s">
        <v>19</v>
      </c>
      <c r="B1" t="s">
        <v>23</v>
      </c>
      <c r="C1" t="s">
        <v>24</v>
      </c>
      <c r="D1" t="s">
        <v>25</v>
      </c>
      <c r="E1" t="s">
        <v>26</v>
      </c>
    </row>
    <row r="2" spans="1:9" x14ac:dyDescent="0.35">
      <c r="A2" t="s">
        <v>27</v>
      </c>
      <c r="B2">
        <v>739</v>
      </c>
      <c r="C2">
        <v>324</v>
      </c>
      <c r="D2">
        <v>2414</v>
      </c>
      <c r="E2">
        <v>5457</v>
      </c>
    </row>
    <row r="3" spans="1:9" x14ac:dyDescent="0.35">
      <c r="A3" t="s">
        <v>28</v>
      </c>
      <c r="B3">
        <v>678</v>
      </c>
      <c r="C3">
        <v>8887</v>
      </c>
      <c r="D3">
        <v>8920</v>
      </c>
      <c r="E3">
        <v>4358</v>
      </c>
    </row>
    <row r="4" spans="1:9" x14ac:dyDescent="0.35">
      <c r="A4" t="s">
        <v>29</v>
      </c>
      <c r="B4">
        <v>432</v>
      </c>
      <c r="C4">
        <v>5776</v>
      </c>
      <c r="D4">
        <v>3457</v>
      </c>
      <c r="E4">
        <v>9654</v>
      </c>
    </row>
    <row r="5" spans="1:9" x14ac:dyDescent="0.35">
      <c r="A5" t="s">
        <v>30</v>
      </c>
      <c r="B5">
        <v>544</v>
      </c>
      <c r="C5">
        <v>6567</v>
      </c>
      <c r="D5">
        <v>4567</v>
      </c>
      <c r="E5">
        <v>7898</v>
      </c>
      <c r="I5" t="s">
        <v>19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52E3-18B2-4F4F-8898-31232630D347}">
  <dimension ref="A1:R48"/>
  <sheetViews>
    <sheetView topLeftCell="D1" workbookViewId="0">
      <selection activeCell="N16" sqref="N16:R20"/>
    </sheetView>
  </sheetViews>
  <sheetFormatPr defaultRowHeight="14.5" outlineLevelRow="3" x14ac:dyDescent="0.35"/>
  <cols>
    <col min="1" max="1" width="8.81640625" customWidth="1"/>
    <col min="9" max="9" width="10.26953125" customWidth="1"/>
    <col min="10" max="10" width="6.90625" customWidth="1"/>
    <col min="14" max="18" width="10.453125" customWidth="1"/>
  </cols>
  <sheetData>
    <row r="1" spans="1:18" x14ac:dyDescent="0.35">
      <c r="B1" t="s">
        <v>23</v>
      </c>
      <c r="C1" t="s">
        <v>24</v>
      </c>
      <c r="D1" t="s">
        <v>25</v>
      </c>
      <c r="E1" t="s">
        <v>26</v>
      </c>
    </row>
    <row r="2" spans="1:18" hidden="1" outlineLevel="1" x14ac:dyDescent="0.35">
      <c r="B2">
        <f>Sheet3!$B$2</f>
        <v>739</v>
      </c>
      <c r="C2">
        <f>Sheet3!$C$2</f>
        <v>324</v>
      </c>
      <c r="D2">
        <f>Sheet3!$D$2</f>
        <v>2414</v>
      </c>
      <c r="E2">
        <f>Sheet3!$E$2</f>
        <v>5457</v>
      </c>
    </row>
    <row r="3" spans="1:18" hidden="1" outlineLevel="1" collapsed="1" x14ac:dyDescent="0.35">
      <c r="B3">
        <f>Sheet6!$B$2</f>
        <v>739</v>
      </c>
      <c r="C3">
        <f>Sheet6!$C$2</f>
        <v>324</v>
      </c>
      <c r="D3">
        <f>Sheet6!$D$2</f>
        <v>2414</v>
      </c>
      <c r="E3">
        <f>Sheet6!$E$2</f>
        <v>5457</v>
      </c>
    </row>
    <row r="4" spans="1:18" collapsed="1" x14ac:dyDescent="0.35">
      <c r="A4" t="s">
        <v>27</v>
      </c>
      <c r="B4">
        <f>SUM(B2:B3)</f>
        <v>1478</v>
      </c>
      <c r="C4">
        <f>SUM(C2:C3)</f>
        <v>648</v>
      </c>
      <c r="D4">
        <f>SUM(D2:D3)</f>
        <v>4828</v>
      </c>
      <c r="E4">
        <f>SUM(E2:E3)</f>
        <v>10914</v>
      </c>
    </row>
    <row r="5" spans="1:18" hidden="1" outlineLevel="1" x14ac:dyDescent="0.35">
      <c r="B5">
        <f>Sheet3!$B$3</f>
        <v>678</v>
      </c>
      <c r="C5">
        <f>Sheet3!$C$3</f>
        <v>8887</v>
      </c>
      <c r="D5">
        <f>Sheet3!$D$3</f>
        <v>8920</v>
      </c>
      <c r="E5">
        <f>Sheet3!$E$3</f>
        <v>4358</v>
      </c>
    </row>
    <row r="6" spans="1:18" hidden="1" outlineLevel="1" collapsed="1" x14ac:dyDescent="0.35">
      <c r="B6">
        <f>Sheet6!$B$3</f>
        <v>678</v>
      </c>
      <c r="C6">
        <f>Sheet6!$C$3</f>
        <v>8887</v>
      </c>
      <c r="D6">
        <f>Sheet6!$D$3</f>
        <v>8920</v>
      </c>
      <c r="E6">
        <f>Sheet6!$E$3</f>
        <v>4358</v>
      </c>
    </row>
    <row r="7" spans="1:18" collapsed="1" x14ac:dyDescent="0.35">
      <c r="A7" t="s">
        <v>28</v>
      </c>
      <c r="B7">
        <f>SUM(B5:B6)</f>
        <v>1356</v>
      </c>
      <c r="C7">
        <f>SUM(C5:C6)</f>
        <v>17774</v>
      </c>
      <c r="D7">
        <f>SUM(D5:D6)</f>
        <v>17840</v>
      </c>
      <c r="E7">
        <f>SUM(E5:E6)</f>
        <v>8716</v>
      </c>
    </row>
    <row r="8" spans="1:18" hidden="1" outlineLevel="1" x14ac:dyDescent="0.35">
      <c r="B8">
        <f>Sheet3!$B$4</f>
        <v>432</v>
      </c>
      <c r="C8">
        <f>Sheet3!$C$4</f>
        <v>5776</v>
      </c>
      <c r="D8">
        <f>Sheet3!$D$4</f>
        <v>3457</v>
      </c>
      <c r="E8">
        <f>Sheet3!$E$4</f>
        <v>9654</v>
      </c>
    </row>
    <row r="9" spans="1:18" hidden="1" outlineLevel="1" collapsed="1" x14ac:dyDescent="0.35">
      <c r="B9">
        <f>Sheet6!$B$4</f>
        <v>432</v>
      </c>
      <c r="C9">
        <f>Sheet6!$C$4</f>
        <v>5776</v>
      </c>
      <c r="D9">
        <f>Sheet6!$D$4</f>
        <v>3457</v>
      </c>
      <c r="E9">
        <f>Sheet6!$E$4</f>
        <v>9654</v>
      </c>
    </row>
    <row r="10" spans="1:18" collapsed="1" x14ac:dyDescent="0.35">
      <c r="A10" t="s">
        <v>29</v>
      </c>
      <c r="B10">
        <f>SUM(B8:B9)</f>
        <v>864</v>
      </c>
      <c r="C10">
        <f>SUM(C8:C9)</f>
        <v>11552</v>
      </c>
      <c r="D10">
        <f>SUM(D8:D9)</f>
        <v>6914</v>
      </c>
      <c r="E10">
        <f>SUM(E8:E9)</f>
        <v>19308</v>
      </c>
    </row>
    <row r="11" spans="1:18" hidden="1" outlineLevel="1" x14ac:dyDescent="0.35">
      <c r="B11">
        <f>Sheet3!$B$5</f>
        <v>544</v>
      </c>
      <c r="C11">
        <f>Sheet3!$C$5</f>
        <v>6567</v>
      </c>
      <c r="D11">
        <f>Sheet3!$D$5</f>
        <v>4567</v>
      </c>
      <c r="E11">
        <f>Sheet3!$E$5</f>
        <v>7898</v>
      </c>
    </row>
    <row r="12" spans="1:18" hidden="1" outlineLevel="1" collapsed="1" x14ac:dyDescent="0.35">
      <c r="B12">
        <f>Sheet6!$B$5</f>
        <v>544</v>
      </c>
      <c r="C12">
        <f>Sheet6!$C$5</f>
        <v>6567</v>
      </c>
      <c r="D12">
        <f>Sheet6!$D$5</f>
        <v>4567</v>
      </c>
      <c r="E12">
        <f>Sheet6!$E$5</f>
        <v>7898</v>
      </c>
    </row>
    <row r="13" spans="1:18" collapsed="1" x14ac:dyDescent="0.35">
      <c r="A13" t="s">
        <v>30</v>
      </c>
      <c r="B13">
        <f>SUM(B11:B12)</f>
        <v>1088</v>
      </c>
      <c r="C13">
        <f>SUM(C11:C12)</f>
        <v>13134</v>
      </c>
      <c r="D13">
        <f>SUM(D11:D12)</f>
        <v>9134</v>
      </c>
      <c r="E13">
        <f>SUM(E11:E12)</f>
        <v>15796</v>
      </c>
    </row>
    <row r="16" spans="1:18" x14ac:dyDescent="0.35">
      <c r="N16" t="s">
        <v>19</v>
      </c>
      <c r="O16" t="s">
        <v>20</v>
      </c>
      <c r="P16" t="s">
        <v>21</v>
      </c>
      <c r="Q16" t="s">
        <v>31</v>
      </c>
      <c r="R16" t="s">
        <v>32</v>
      </c>
    </row>
    <row r="21" spans="6:18" hidden="1" outlineLevel="3" x14ac:dyDescent="0.35">
      <c r="F21" t="s">
        <v>29</v>
      </c>
      <c r="G21">
        <v>432</v>
      </c>
      <c r="H21">
        <v>5776</v>
      </c>
      <c r="I21">
        <v>3457</v>
      </c>
      <c r="J21">
        <f>Sheet3!$B$2</f>
        <v>739</v>
      </c>
      <c r="K21">
        <f>Sheet3!$C$2</f>
        <v>324</v>
      </c>
      <c r="L21">
        <f>Sheet3!$D$2</f>
        <v>2414</v>
      </c>
      <c r="M21">
        <f>Sheet3!$E$2</f>
        <v>5457</v>
      </c>
      <c r="O21">
        <v>544</v>
      </c>
      <c r="P21">
        <v>6567</v>
      </c>
      <c r="Q21">
        <v>4567</v>
      </c>
      <c r="R21">
        <v>7898</v>
      </c>
    </row>
    <row r="22" spans="6:18" hidden="1" outlineLevel="3" collapsed="1" x14ac:dyDescent="0.35">
      <c r="F22" t="s">
        <v>30</v>
      </c>
      <c r="G22">
        <v>544</v>
      </c>
      <c r="H22">
        <v>6567</v>
      </c>
      <c r="I22">
        <v>4567</v>
      </c>
      <c r="J22">
        <f>Sheet6!$B$2</f>
        <v>739</v>
      </c>
      <c r="K22">
        <f>Sheet6!$C$2</f>
        <v>324</v>
      </c>
      <c r="L22">
        <f>Sheet6!$D$2</f>
        <v>2414</v>
      </c>
      <c r="M22">
        <f>Sheet6!$E$2</f>
        <v>5457</v>
      </c>
    </row>
    <row r="23" spans="6:18" hidden="1" outlineLevel="2" collapsed="1" x14ac:dyDescent="0.35">
      <c r="J23">
        <f>AVERAGE(J21:J22)</f>
        <v>739</v>
      </c>
      <c r="K23">
        <f>AVERAGE(K21:K22)</f>
        <v>324</v>
      </c>
      <c r="L23">
        <f>AVERAGE(L21:L22)</f>
        <v>2414</v>
      </c>
      <c r="M23">
        <f>AVERAGE(M21:M22)</f>
        <v>5457</v>
      </c>
    </row>
    <row r="24" spans="6:18" hidden="1" outlineLevel="3" x14ac:dyDescent="0.35">
      <c r="J24">
        <f>Sheet3!$B$3</f>
        <v>678</v>
      </c>
      <c r="K24">
        <f>Sheet3!$C$3</f>
        <v>8887</v>
      </c>
      <c r="L24">
        <f>Sheet3!$D$3</f>
        <v>8920</v>
      </c>
      <c r="M24">
        <f>Sheet3!$E$3</f>
        <v>4358</v>
      </c>
    </row>
    <row r="25" spans="6:18" hidden="1" outlineLevel="3" collapsed="1" x14ac:dyDescent="0.35">
      <c r="J25">
        <f>Sheet6!$B$3</f>
        <v>678</v>
      </c>
      <c r="K25">
        <f>Sheet6!$C$3</f>
        <v>8887</v>
      </c>
      <c r="L25">
        <f>Sheet6!$D$3</f>
        <v>8920</v>
      </c>
      <c r="M25">
        <f>Sheet6!$E$3</f>
        <v>4358</v>
      </c>
    </row>
    <row r="26" spans="6:18" hidden="1" outlineLevel="2" collapsed="1" x14ac:dyDescent="0.35">
      <c r="J26">
        <f>AVERAGE(J24:J25)</f>
        <v>678</v>
      </c>
      <c r="K26">
        <f>AVERAGE(K24:K25)</f>
        <v>8887</v>
      </c>
      <c r="L26">
        <f>AVERAGE(L24:L25)</f>
        <v>8920</v>
      </c>
      <c r="M26">
        <f>AVERAGE(M24:M25)</f>
        <v>4358</v>
      </c>
    </row>
    <row r="27" spans="6:18" hidden="1" outlineLevel="3" x14ac:dyDescent="0.35">
      <c r="J27">
        <f>Sheet3!$B$4</f>
        <v>432</v>
      </c>
      <c r="K27">
        <f>Sheet3!$C$4</f>
        <v>5776</v>
      </c>
      <c r="L27">
        <f>Sheet3!$D$4</f>
        <v>3457</v>
      </c>
      <c r="M27">
        <f>Sheet3!$E$4</f>
        <v>9654</v>
      </c>
    </row>
    <row r="28" spans="6:18" hidden="1" outlineLevel="3" x14ac:dyDescent="0.35">
      <c r="J28">
        <f>Sheet6!$B$4</f>
        <v>432</v>
      </c>
      <c r="K28">
        <f>Sheet6!$C$4</f>
        <v>5776</v>
      </c>
      <c r="L28">
        <f>Sheet6!$D$4</f>
        <v>3457</v>
      </c>
      <c r="M28">
        <f>Sheet6!$E$4</f>
        <v>9654</v>
      </c>
    </row>
    <row r="29" spans="6:18" hidden="1" outlineLevel="1" collapsed="1" x14ac:dyDescent="0.35">
      <c r="J29">
        <f>AVERAGE(J27:J28)</f>
        <v>432</v>
      </c>
      <c r="K29">
        <f>AVERAGE(K27:K28)</f>
        <v>5776</v>
      </c>
      <c r="L29">
        <f>AVERAGE(L27:L28)</f>
        <v>3457</v>
      </c>
      <c r="M29">
        <f>AVERAGE(M27:M28)</f>
        <v>9654</v>
      </c>
    </row>
    <row r="30" spans="6:18" hidden="1" outlineLevel="3" x14ac:dyDescent="0.35">
      <c r="J30">
        <f>Sheet3!$B$5</f>
        <v>544</v>
      </c>
      <c r="K30">
        <f>Sheet3!$C$5</f>
        <v>6567</v>
      </c>
      <c r="L30">
        <f>Sheet3!$D$5</f>
        <v>4567</v>
      </c>
      <c r="M30">
        <f>Sheet3!$E$5</f>
        <v>7898</v>
      </c>
    </row>
    <row r="31" spans="6:18" hidden="1" outlineLevel="3" x14ac:dyDescent="0.35">
      <c r="J31">
        <f>Sheet6!$B$5</f>
        <v>544</v>
      </c>
      <c r="K31">
        <f>Sheet6!$C$5</f>
        <v>6567</v>
      </c>
      <c r="L31">
        <f>Sheet6!$D$5</f>
        <v>4567</v>
      </c>
      <c r="M31">
        <f>Sheet6!$E$5</f>
        <v>7898</v>
      </c>
    </row>
    <row r="32" spans="6:18" hidden="1" outlineLevel="2" x14ac:dyDescent="0.35">
      <c r="J32">
        <f>AVERAGE(J30:J31)</f>
        <v>544</v>
      </c>
      <c r="K32">
        <f>AVERAGE(K30:K31)</f>
        <v>6567</v>
      </c>
      <c r="L32">
        <f>AVERAGE(L30:L31)</f>
        <v>4567</v>
      </c>
      <c r="M32">
        <f>AVERAGE(M30:M31)</f>
        <v>7898</v>
      </c>
    </row>
    <row r="33" spans="5:9" hidden="1" outlineLevel="2" collapsed="1" x14ac:dyDescent="0.35"/>
    <row r="34" spans="5:9" hidden="1" outlineLevel="1" collapsed="1" x14ac:dyDescent="0.35"/>
    <row r="35" spans="5:9" hidden="1" outlineLevel="2" x14ac:dyDescent="0.35"/>
    <row r="36" spans="5:9" hidden="1" outlineLevel="2" x14ac:dyDescent="0.35"/>
    <row r="37" spans="5:9" collapsed="1" x14ac:dyDescent="0.35"/>
    <row r="38" spans="5:9" hidden="1" outlineLevel="2" x14ac:dyDescent="0.35">
      <c r="E38" t="s">
        <v>27</v>
      </c>
      <c r="F38">
        <v>985.33333333333337</v>
      </c>
      <c r="G38">
        <v>432</v>
      </c>
      <c r="H38">
        <v>3218.6666666666665</v>
      </c>
      <c r="I38">
        <v>7276</v>
      </c>
    </row>
    <row r="39" spans="5:9" hidden="1" outlineLevel="2" collapsed="1" x14ac:dyDescent="0.35">
      <c r="E39" t="s">
        <v>28</v>
      </c>
      <c r="F39">
        <v>678</v>
      </c>
      <c r="G39">
        <v>8887</v>
      </c>
      <c r="H39">
        <v>8920</v>
      </c>
      <c r="I39">
        <v>4358</v>
      </c>
    </row>
    <row r="40" spans="5:9" hidden="1" outlineLevel="1" x14ac:dyDescent="0.35">
      <c r="E40" t="s">
        <v>29</v>
      </c>
      <c r="F40">
        <v>432</v>
      </c>
      <c r="G40">
        <v>5776</v>
      </c>
      <c r="H40">
        <v>3457</v>
      </c>
      <c r="I40">
        <v>9654</v>
      </c>
    </row>
    <row r="41" spans="5:9" hidden="1" outlineLevel="1" collapsed="1" x14ac:dyDescent="0.35">
      <c r="E41" t="s">
        <v>30</v>
      </c>
      <c r="F41">
        <v>544</v>
      </c>
      <c r="G41">
        <v>6567</v>
      </c>
      <c r="H41">
        <v>4567</v>
      </c>
      <c r="I41">
        <v>7898</v>
      </c>
    </row>
    <row r="42" spans="5:9" collapsed="1" x14ac:dyDescent="0.35"/>
    <row r="43" spans="5:9" hidden="1" outlineLevel="1" x14ac:dyDescent="0.35"/>
    <row r="44" spans="5:9" hidden="1" outlineLevel="1" collapsed="1" x14ac:dyDescent="0.35"/>
    <row r="45" spans="5:9" collapsed="1" x14ac:dyDescent="0.35"/>
    <row r="46" spans="5:9" hidden="1" outlineLevel="1" x14ac:dyDescent="0.35"/>
    <row r="47" spans="5:9" hidden="1" outlineLevel="1" collapsed="1" x14ac:dyDescent="0.35"/>
    <row r="48" spans="5:9" collapsed="1" x14ac:dyDescent="0.35"/>
  </sheetData>
  <dataConsolidate function="average" leftLabels="1" topLabels="1">
    <dataRefs count="3">
      <dataRef ref="A1:E5" sheet="consolidate"/>
      <dataRef ref="A1:E5" sheet="Sheet3"/>
      <dataRef ref="A1:E5" sheet="Sheet6"/>
    </dataRefs>
  </dataConsolid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Sheet2</vt:lpstr>
      <vt:lpstr>Sheet4</vt:lpstr>
      <vt:lpstr>Sheet5</vt:lpstr>
      <vt:lpstr>Sheet3</vt:lpstr>
      <vt:lpstr>Sheet6</vt:lpstr>
      <vt:lpstr>consolidate</vt:lpstr>
      <vt:lpstr>Discount</vt:lpstr>
      <vt:lpstr>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Nayak</dc:creator>
  <cp:lastModifiedBy>Shivam Nayak</cp:lastModifiedBy>
  <dcterms:created xsi:type="dcterms:W3CDTF">2026-07-28T13:52:06Z</dcterms:created>
  <dcterms:modified xsi:type="dcterms:W3CDTF">2026-07-29T15:22:14Z</dcterms:modified>
</cp:coreProperties>
</file>